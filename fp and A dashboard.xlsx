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mavsuta-my.sharepoint.com/personal/temiloluwa_ojoawosika_uta_edu/Documents/Documents/"/>
    </mc:Choice>
  </mc:AlternateContent>
  <xr:revisionPtr revIDLastSave="0" documentId="8_{E6243EC5-0908-4CB1-A7C7-5AF72DB46902}" xr6:coauthVersionLast="47" xr6:coauthVersionMax="47" xr10:uidLastSave="{00000000-0000-0000-0000-000000000000}"/>
  <bookViews>
    <workbookView xWindow="25080" yWindow="-120" windowWidth="29040" windowHeight="17520" activeTab="3" xr2:uid="{F1258C64-B2BC-4AB7-8592-779F55484E7F}"/>
  </bookViews>
  <sheets>
    <sheet name="Raw Data" sheetId="1" r:id="rId1"/>
    <sheet name="Pivot Tables" sheetId="4" r:id="rId2"/>
    <sheet name="Dashboard" sheetId="5" r:id="rId3"/>
    <sheet name="Assumptions" sheetId="6" r:id="rId4"/>
  </sheets>
  <definedNames>
    <definedName name="Slicer_Department">#N/A</definedName>
    <definedName name="Slicer_Month">#N/A</definedName>
  </definedNames>
  <calcPr calcId="191029"/>
  <pivotCaches>
    <pivotCache cacheId="5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336" i="1" l="1"/>
  <c r="I336" i="1" s="1"/>
  <c r="G337" i="1"/>
  <c r="G338" i="1"/>
  <c r="G339" i="1"/>
  <c r="H339" i="1" s="1"/>
  <c r="G340" i="1"/>
  <c r="H340" i="1" s="1"/>
  <c r="G341" i="1"/>
  <c r="G342" i="1"/>
  <c r="I342" i="1" s="1"/>
  <c r="G343" i="1"/>
  <c r="I343" i="1" s="1"/>
  <c r="G344" i="1"/>
  <c r="I344" i="1" s="1"/>
  <c r="G345" i="1"/>
  <c r="G346" i="1"/>
  <c r="G347" i="1"/>
  <c r="H347" i="1" s="1"/>
  <c r="G348" i="1"/>
  <c r="H348" i="1" s="1"/>
  <c r="G349" i="1"/>
  <c r="G350" i="1"/>
  <c r="G351" i="1"/>
  <c r="I351" i="1" s="1"/>
  <c r="G352" i="1"/>
  <c r="I352" i="1" s="1"/>
  <c r="G353" i="1"/>
  <c r="I353" i="1" s="1"/>
  <c r="G354" i="1"/>
  <c r="G355" i="1"/>
  <c r="G356" i="1"/>
  <c r="H356" i="1" s="1"/>
  <c r="G357" i="1"/>
  <c r="G358" i="1"/>
  <c r="G359" i="1"/>
  <c r="I359" i="1" s="1"/>
  <c r="G360" i="1"/>
  <c r="H360" i="1" s="1"/>
  <c r="G361" i="1"/>
  <c r="H361" i="1" s="1"/>
  <c r="G362" i="1"/>
  <c r="G363" i="1"/>
  <c r="G364" i="1"/>
  <c r="G365" i="1"/>
  <c r="G366" i="1"/>
  <c r="H366" i="1" s="1"/>
  <c r="H337" i="1"/>
  <c r="H338" i="1"/>
  <c r="H341" i="1"/>
  <c r="H345" i="1"/>
  <c r="H346" i="1"/>
  <c r="H349" i="1"/>
  <c r="H350" i="1"/>
  <c r="H353" i="1"/>
  <c r="H354" i="1"/>
  <c r="H355" i="1"/>
  <c r="H357" i="1"/>
  <c r="H358" i="1"/>
  <c r="H362" i="1"/>
  <c r="H363" i="1"/>
  <c r="H364" i="1"/>
  <c r="H365" i="1"/>
  <c r="I337" i="1"/>
  <c r="I338" i="1"/>
  <c r="I341" i="1"/>
  <c r="I345" i="1"/>
  <c r="I346" i="1"/>
  <c r="I349" i="1"/>
  <c r="I350" i="1"/>
  <c r="I354" i="1"/>
  <c r="I355" i="1"/>
  <c r="I357" i="1"/>
  <c r="I358" i="1"/>
  <c r="I360" i="1"/>
  <c r="I361" i="1"/>
  <c r="I362" i="1"/>
  <c r="I363" i="1"/>
  <c r="I364" i="1"/>
  <c r="I365" i="1"/>
  <c r="I366" i="1"/>
  <c r="G300" i="1"/>
  <c r="H300" i="1" s="1"/>
  <c r="G301" i="1"/>
  <c r="H301" i="1" s="1"/>
  <c r="G302" i="1"/>
  <c r="G303" i="1"/>
  <c r="G304" i="1"/>
  <c r="I304" i="1" s="1"/>
  <c r="G305" i="1"/>
  <c r="H305" i="1" s="1"/>
  <c r="G306" i="1"/>
  <c r="H306" i="1" s="1"/>
  <c r="G307" i="1"/>
  <c r="H307" i="1" s="1"/>
  <c r="G308" i="1"/>
  <c r="H308" i="1" s="1"/>
  <c r="G309" i="1"/>
  <c r="H309" i="1" s="1"/>
  <c r="G310" i="1"/>
  <c r="G311" i="1"/>
  <c r="G312" i="1"/>
  <c r="H312" i="1" s="1"/>
  <c r="G313" i="1"/>
  <c r="H313" i="1" s="1"/>
  <c r="G314" i="1"/>
  <c r="H314" i="1" s="1"/>
  <c r="G315" i="1"/>
  <c r="H315" i="1" s="1"/>
  <c r="G316" i="1"/>
  <c r="H316" i="1" s="1"/>
  <c r="G317" i="1"/>
  <c r="H317" i="1" s="1"/>
  <c r="G318" i="1"/>
  <c r="G319" i="1"/>
  <c r="G320" i="1"/>
  <c r="I320" i="1" s="1"/>
  <c r="G321" i="1"/>
  <c r="H321" i="1" s="1"/>
  <c r="G322" i="1"/>
  <c r="H322" i="1" s="1"/>
  <c r="G323" i="1"/>
  <c r="H323" i="1" s="1"/>
  <c r="G324" i="1"/>
  <c r="H324" i="1" s="1"/>
  <c r="G325" i="1"/>
  <c r="H325" i="1" s="1"/>
  <c r="G326" i="1"/>
  <c r="G327" i="1"/>
  <c r="G328" i="1"/>
  <c r="H328" i="1" s="1"/>
  <c r="G329" i="1"/>
  <c r="H329" i="1" s="1"/>
  <c r="G330" i="1"/>
  <c r="H330" i="1" s="1"/>
  <c r="G331" i="1"/>
  <c r="H331" i="1" s="1"/>
  <c r="G332" i="1"/>
  <c r="H332" i="1" s="1"/>
  <c r="G333" i="1"/>
  <c r="H333" i="1" s="1"/>
  <c r="G334" i="1"/>
  <c r="G335" i="1"/>
  <c r="H302" i="1"/>
  <c r="H303" i="1"/>
  <c r="H310" i="1"/>
  <c r="H311" i="1"/>
  <c r="H318" i="1"/>
  <c r="H319" i="1"/>
  <c r="H326" i="1"/>
  <c r="H327" i="1"/>
  <c r="H334" i="1"/>
  <c r="H335" i="1"/>
  <c r="I302" i="1"/>
  <c r="I303" i="1"/>
  <c r="I306" i="1"/>
  <c r="I310" i="1"/>
  <c r="I311" i="1"/>
  <c r="I314" i="1"/>
  <c r="I318" i="1"/>
  <c r="I319" i="1"/>
  <c r="I322" i="1"/>
  <c r="I326" i="1"/>
  <c r="I327" i="1"/>
  <c r="I330" i="1"/>
  <c r="I334" i="1"/>
  <c r="I335" i="1"/>
  <c r="G262" i="1"/>
  <c r="G263" i="1"/>
  <c r="H263" i="1" s="1"/>
  <c r="G264" i="1"/>
  <c r="H264" i="1" s="1"/>
  <c r="G265" i="1"/>
  <c r="G266" i="1"/>
  <c r="G267" i="1"/>
  <c r="H267" i="1" s="1"/>
  <c r="G268" i="1"/>
  <c r="H268" i="1" s="1"/>
  <c r="G269" i="1"/>
  <c r="I269" i="1" s="1"/>
  <c r="G270" i="1"/>
  <c r="G271" i="1"/>
  <c r="I271" i="1" s="1"/>
  <c r="G272" i="1"/>
  <c r="H272" i="1" s="1"/>
  <c r="G273" i="1"/>
  <c r="G274" i="1"/>
  <c r="I274" i="1" s="1"/>
  <c r="G275" i="1"/>
  <c r="I275" i="1" s="1"/>
  <c r="G276" i="1"/>
  <c r="H276" i="1" s="1"/>
  <c r="G277" i="1"/>
  <c r="I277" i="1" s="1"/>
  <c r="G278" i="1"/>
  <c r="G279" i="1"/>
  <c r="I279" i="1" s="1"/>
  <c r="G280" i="1"/>
  <c r="I280" i="1" s="1"/>
  <c r="G281" i="1"/>
  <c r="G282" i="1"/>
  <c r="H282" i="1" s="1"/>
  <c r="G283" i="1"/>
  <c r="H283" i="1" s="1"/>
  <c r="G284" i="1"/>
  <c r="H284" i="1" s="1"/>
  <c r="G285" i="1"/>
  <c r="I285" i="1" s="1"/>
  <c r="G286" i="1"/>
  <c r="G287" i="1"/>
  <c r="H287" i="1" s="1"/>
  <c r="G288" i="1"/>
  <c r="I288" i="1" s="1"/>
  <c r="G289" i="1"/>
  <c r="G290" i="1"/>
  <c r="H290" i="1" s="1"/>
  <c r="G291" i="1"/>
  <c r="H291" i="1" s="1"/>
  <c r="G292" i="1"/>
  <c r="H292" i="1" s="1"/>
  <c r="G293" i="1"/>
  <c r="I293" i="1" s="1"/>
  <c r="G294" i="1"/>
  <c r="G295" i="1"/>
  <c r="H295" i="1" s="1"/>
  <c r="G296" i="1"/>
  <c r="H296" i="1" s="1"/>
  <c r="G297" i="1"/>
  <c r="G298" i="1"/>
  <c r="I298" i="1" s="1"/>
  <c r="G299" i="1"/>
  <c r="H299" i="1" s="1"/>
  <c r="H262" i="1"/>
  <c r="H265" i="1"/>
  <c r="H266" i="1"/>
  <c r="H270" i="1"/>
  <c r="H271" i="1"/>
  <c r="H273" i="1"/>
  <c r="H274" i="1"/>
  <c r="H275" i="1"/>
  <c r="H278" i="1"/>
  <c r="H279" i="1"/>
  <c r="H280" i="1"/>
  <c r="H281" i="1"/>
  <c r="H286" i="1"/>
  <c r="H289" i="1"/>
  <c r="H294" i="1"/>
  <c r="H297" i="1"/>
  <c r="H298" i="1"/>
  <c r="I262" i="1"/>
  <c r="I263" i="1"/>
  <c r="I264" i="1"/>
  <c r="I265" i="1"/>
  <c r="I266" i="1"/>
  <c r="I267" i="1"/>
  <c r="I268" i="1"/>
  <c r="I270" i="1"/>
  <c r="I273" i="1"/>
  <c r="I278" i="1"/>
  <c r="I281" i="1"/>
  <c r="I282" i="1"/>
  <c r="I286" i="1"/>
  <c r="I287" i="1"/>
  <c r="I289" i="1"/>
  <c r="I290" i="1"/>
  <c r="I291" i="1"/>
  <c r="I294" i="1"/>
  <c r="I295" i="1"/>
  <c r="I296" i="1"/>
  <c r="I297" i="1"/>
  <c r="G231" i="1"/>
  <c r="I231" i="1" s="1"/>
  <c r="G232" i="1"/>
  <c r="H232" i="1" s="1"/>
  <c r="G233" i="1"/>
  <c r="I233" i="1" s="1"/>
  <c r="G234" i="1"/>
  <c r="G235" i="1"/>
  <c r="H235" i="1" s="1"/>
  <c r="G236" i="1"/>
  <c r="I236" i="1" s="1"/>
  <c r="G237" i="1"/>
  <c r="G238" i="1"/>
  <c r="I238" i="1" s="1"/>
  <c r="G239" i="1"/>
  <c r="I239" i="1" s="1"/>
  <c r="G240" i="1"/>
  <c r="H240" i="1" s="1"/>
  <c r="G241" i="1"/>
  <c r="I241" i="1" s="1"/>
  <c r="G242" i="1"/>
  <c r="G243" i="1"/>
  <c r="H243" i="1" s="1"/>
  <c r="G244" i="1"/>
  <c r="I244" i="1" s="1"/>
  <c r="G245" i="1"/>
  <c r="G246" i="1"/>
  <c r="I246" i="1" s="1"/>
  <c r="G247" i="1"/>
  <c r="I247" i="1" s="1"/>
  <c r="G248" i="1"/>
  <c r="H248" i="1" s="1"/>
  <c r="G249" i="1"/>
  <c r="I249" i="1" s="1"/>
  <c r="G250" i="1"/>
  <c r="G251" i="1"/>
  <c r="H251" i="1" s="1"/>
  <c r="G252" i="1"/>
  <c r="I252" i="1" s="1"/>
  <c r="G253" i="1"/>
  <c r="G254" i="1"/>
  <c r="I254" i="1" s="1"/>
  <c r="G255" i="1"/>
  <c r="I255" i="1" s="1"/>
  <c r="G256" i="1"/>
  <c r="H256" i="1" s="1"/>
  <c r="G257" i="1"/>
  <c r="I257" i="1" s="1"/>
  <c r="G258" i="1"/>
  <c r="G259" i="1"/>
  <c r="H259" i="1" s="1"/>
  <c r="G260" i="1"/>
  <c r="I260" i="1" s="1"/>
  <c r="G261" i="1"/>
  <c r="H234" i="1"/>
  <c r="H237" i="1"/>
  <c r="H242" i="1"/>
  <c r="H245" i="1"/>
  <c r="H250" i="1"/>
  <c r="H253" i="1"/>
  <c r="H258" i="1"/>
  <c r="H261" i="1"/>
  <c r="I232" i="1"/>
  <c r="I234" i="1"/>
  <c r="I237" i="1"/>
  <c r="I240" i="1"/>
  <c r="I242" i="1"/>
  <c r="I245" i="1"/>
  <c r="I248" i="1"/>
  <c r="I250" i="1"/>
  <c r="I253" i="1"/>
  <c r="I256" i="1"/>
  <c r="I258" i="1"/>
  <c r="I261" i="1"/>
  <c r="G202" i="1"/>
  <c r="G203" i="1"/>
  <c r="H203" i="1" s="1"/>
  <c r="G204" i="1"/>
  <c r="G205" i="1"/>
  <c r="G206" i="1"/>
  <c r="G207" i="1"/>
  <c r="H207" i="1" s="1"/>
  <c r="G208" i="1"/>
  <c r="I208" i="1" s="1"/>
  <c r="G209" i="1"/>
  <c r="I209" i="1" s="1"/>
  <c r="G210" i="1"/>
  <c r="I210" i="1" s="1"/>
  <c r="G211" i="1"/>
  <c r="I211" i="1" s="1"/>
  <c r="G212" i="1"/>
  <c r="G213" i="1"/>
  <c r="I213" i="1" s="1"/>
  <c r="G214" i="1"/>
  <c r="H214" i="1" s="1"/>
  <c r="G215" i="1"/>
  <c r="H215" i="1" s="1"/>
  <c r="G216" i="1"/>
  <c r="I216" i="1" s="1"/>
  <c r="G217" i="1"/>
  <c r="I217" i="1" s="1"/>
  <c r="G218" i="1"/>
  <c r="H218" i="1" s="1"/>
  <c r="G219" i="1"/>
  <c r="I219" i="1" s="1"/>
  <c r="G220" i="1"/>
  <c r="G221" i="1"/>
  <c r="H221" i="1" s="1"/>
  <c r="G222" i="1"/>
  <c r="H222" i="1" s="1"/>
  <c r="G223" i="1"/>
  <c r="H223" i="1" s="1"/>
  <c r="G224" i="1"/>
  <c r="I224" i="1" s="1"/>
  <c r="G225" i="1"/>
  <c r="I225" i="1" s="1"/>
  <c r="G226" i="1"/>
  <c r="I226" i="1" s="1"/>
  <c r="G227" i="1"/>
  <c r="I227" i="1" s="1"/>
  <c r="G228" i="1"/>
  <c r="G229" i="1"/>
  <c r="I229" i="1" s="1"/>
  <c r="G230" i="1"/>
  <c r="I230" i="1" s="1"/>
  <c r="H202" i="1"/>
  <c r="H204" i="1"/>
  <c r="H205" i="1"/>
  <c r="H206" i="1"/>
  <c r="H212" i="1"/>
  <c r="H213" i="1"/>
  <c r="H220" i="1"/>
  <c r="H226" i="1"/>
  <c r="H227" i="1"/>
  <c r="H228" i="1"/>
  <c r="I202" i="1"/>
  <c r="I204" i="1"/>
  <c r="I205" i="1"/>
  <c r="I206" i="1"/>
  <c r="I212" i="1"/>
  <c r="I218" i="1"/>
  <c r="I220" i="1"/>
  <c r="I221" i="1"/>
  <c r="I222" i="1"/>
  <c r="I228" i="1"/>
  <c r="G168" i="1"/>
  <c r="H168" i="1" s="1"/>
  <c r="G169" i="1"/>
  <c r="I169" i="1" s="1"/>
  <c r="G170" i="1"/>
  <c r="G171" i="1"/>
  <c r="I171" i="1" s="1"/>
  <c r="G172" i="1"/>
  <c r="I172" i="1" s="1"/>
  <c r="G173" i="1"/>
  <c r="I173" i="1" s="1"/>
  <c r="G174" i="1"/>
  <c r="H174" i="1" s="1"/>
  <c r="G175" i="1"/>
  <c r="H175" i="1" s="1"/>
  <c r="G176" i="1"/>
  <c r="H176" i="1" s="1"/>
  <c r="G177" i="1"/>
  <c r="H177" i="1" s="1"/>
  <c r="G178" i="1"/>
  <c r="G179" i="1"/>
  <c r="I179" i="1" s="1"/>
  <c r="G180" i="1"/>
  <c r="I180" i="1" s="1"/>
  <c r="G181" i="1"/>
  <c r="I181" i="1" s="1"/>
  <c r="G182" i="1"/>
  <c r="H182" i="1" s="1"/>
  <c r="G183" i="1"/>
  <c r="H183" i="1" s="1"/>
  <c r="G184" i="1"/>
  <c r="H184" i="1" s="1"/>
  <c r="G185" i="1"/>
  <c r="I185" i="1" s="1"/>
  <c r="G186" i="1"/>
  <c r="G187" i="1"/>
  <c r="I187" i="1" s="1"/>
  <c r="G188" i="1"/>
  <c r="I188" i="1" s="1"/>
  <c r="G189" i="1"/>
  <c r="I189" i="1" s="1"/>
  <c r="G190" i="1"/>
  <c r="H190" i="1" s="1"/>
  <c r="G191" i="1"/>
  <c r="H191" i="1" s="1"/>
  <c r="G192" i="1"/>
  <c r="H192" i="1" s="1"/>
  <c r="G193" i="1"/>
  <c r="H193" i="1" s="1"/>
  <c r="G194" i="1"/>
  <c r="G195" i="1"/>
  <c r="I195" i="1" s="1"/>
  <c r="G196" i="1"/>
  <c r="I196" i="1" s="1"/>
  <c r="G197" i="1"/>
  <c r="I197" i="1" s="1"/>
  <c r="G198" i="1"/>
  <c r="H198" i="1" s="1"/>
  <c r="G199" i="1"/>
  <c r="H199" i="1" s="1"/>
  <c r="G200" i="1"/>
  <c r="I200" i="1" s="1"/>
  <c r="G201" i="1"/>
  <c r="H201" i="1" s="1"/>
  <c r="H170" i="1"/>
  <c r="H171" i="1"/>
  <c r="H172" i="1"/>
  <c r="H178" i="1"/>
  <c r="H179" i="1"/>
  <c r="H180" i="1"/>
  <c r="H186" i="1"/>
  <c r="H187" i="1"/>
  <c r="H194" i="1"/>
  <c r="H200" i="1"/>
  <c r="I170" i="1"/>
  <c r="I178" i="1"/>
  <c r="I186" i="1"/>
  <c r="I194" i="1"/>
  <c r="G137" i="1"/>
  <c r="I137" i="1" s="1"/>
  <c r="G138" i="1"/>
  <c r="G139" i="1"/>
  <c r="H139" i="1" s="1"/>
  <c r="G140" i="1"/>
  <c r="I140" i="1" s="1"/>
  <c r="G141" i="1"/>
  <c r="I141" i="1" s="1"/>
  <c r="G142" i="1"/>
  <c r="I142" i="1" s="1"/>
  <c r="G143" i="1"/>
  <c r="I143" i="1" s="1"/>
  <c r="G144" i="1"/>
  <c r="I144" i="1" s="1"/>
  <c r="G145" i="1"/>
  <c r="I145" i="1" s="1"/>
  <c r="G146" i="1"/>
  <c r="G147" i="1"/>
  <c r="H147" i="1" s="1"/>
  <c r="G148" i="1"/>
  <c r="I148" i="1" s="1"/>
  <c r="G149" i="1"/>
  <c r="I149" i="1" s="1"/>
  <c r="G150" i="1"/>
  <c r="I150" i="1" s="1"/>
  <c r="G151" i="1"/>
  <c r="I151" i="1" s="1"/>
  <c r="G152" i="1"/>
  <c r="I152" i="1" s="1"/>
  <c r="G153" i="1"/>
  <c r="I153" i="1" s="1"/>
  <c r="G154" i="1"/>
  <c r="G155" i="1"/>
  <c r="H155" i="1" s="1"/>
  <c r="G156" i="1"/>
  <c r="I156" i="1" s="1"/>
  <c r="G157" i="1"/>
  <c r="I157" i="1" s="1"/>
  <c r="G158" i="1"/>
  <c r="I158" i="1" s="1"/>
  <c r="G159" i="1"/>
  <c r="I159" i="1" s="1"/>
  <c r="G160" i="1"/>
  <c r="I160" i="1" s="1"/>
  <c r="G161" i="1"/>
  <c r="I161" i="1" s="1"/>
  <c r="G162" i="1"/>
  <c r="G163" i="1"/>
  <c r="H163" i="1" s="1"/>
  <c r="G164" i="1"/>
  <c r="I164" i="1" s="1"/>
  <c r="G165" i="1"/>
  <c r="I165" i="1" s="1"/>
  <c r="G166" i="1"/>
  <c r="I166" i="1" s="1"/>
  <c r="G167" i="1"/>
  <c r="I167" i="1" s="1"/>
  <c r="H138" i="1"/>
  <c r="H146" i="1"/>
  <c r="H154" i="1"/>
  <c r="H162" i="1"/>
  <c r="I138" i="1"/>
  <c r="I139" i="1"/>
  <c r="I146" i="1"/>
  <c r="I154" i="1"/>
  <c r="I155" i="1"/>
  <c r="I162" i="1"/>
  <c r="I163" i="1"/>
  <c r="G97" i="1"/>
  <c r="I97" i="1" s="1"/>
  <c r="G98" i="1"/>
  <c r="I98" i="1" s="1"/>
  <c r="G99" i="1"/>
  <c r="G100" i="1"/>
  <c r="G101" i="1"/>
  <c r="I101" i="1" s="1"/>
  <c r="G102" i="1"/>
  <c r="I102" i="1" s="1"/>
  <c r="G103" i="1"/>
  <c r="G104" i="1"/>
  <c r="I104" i="1" s="1"/>
  <c r="G105" i="1"/>
  <c r="I105" i="1" s="1"/>
  <c r="G106" i="1"/>
  <c r="I106" i="1" s="1"/>
  <c r="G107" i="1"/>
  <c r="G108" i="1"/>
  <c r="G109" i="1"/>
  <c r="I109" i="1" s="1"/>
  <c r="G110" i="1"/>
  <c r="H110" i="1" s="1"/>
  <c r="G111" i="1"/>
  <c r="G112" i="1"/>
  <c r="H112" i="1" s="1"/>
  <c r="G113" i="1"/>
  <c r="I113" i="1" s="1"/>
  <c r="G114" i="1"/>
  <c r="I114" i="1" s="1"/>
  <c r="G115" i="1"/>
  <c r="G116" i="1"/>
  <c r="G117" i="1"/>
  <c r="I117" i="1" s="1"/>
  <c r="G118" i="1"/>
  <c r="I118" i="1" s="1"/>
  <c r="G119" i="1"/>
  <c r="G120" i="1"/>
  <c r="H120" i="1" s="1"/>
  <c r="G121" i="1"/>
  <c r="I121" i="1" s="1"/>
  <c r="G122" i="1"/>
  <c r="I122" i="1" s="1"/>
  <c r="G123" i="1"/>
  <c r="G124" i="1"/>
  <c r="G125" i="1"/>
  <c r="I125" i="1" s="1"/>
  <c r="G126" i="1"/>
  <c r="H126" i="1" s="1"/>
  <c r="G127" i="1"/>
  <c r="G128" i="1"/>
  <c r="H128" i="1" s="1"/>
  <c r="G129" i="1"/>
  <c r="I129" i="1" s="1"/>
  <c r="G130" i="1"/>
  <c r="I130" i="1" s="1"/>
  <c r="G131" i="1"/>
  <c r="G132" i="1"/>
  <c r="G133" i="1"/>
  <c r="I133" i="1" s="1"/>
  <c r="G134" i="1"/>
  <c r="I134" i="1" s="1"/>
  <c r="G135" i="1"/>
  <c r="G136" i="1"/>
  <c r="H136" i="1" s="1"/>
  <c r="H97" i="1"/>
  <c r="H98" i="1"/>
  <c r="H99" i="1"/>
  <c r="H100" i="1"/>
  <c r="H101" i="1"/>
  <c r="H102" i="1"/>
  <c r="H103" i="1"/>
  <c r="H104" i="1"/>
  <c r="H105" i="1"/>
  <c r="H106" i="1"/>
  <c r="H107" i="1"/>
  <c r="H108" i="1"/>
  <c r="H111" i="1"/>
  <c r="H115" i="1"/>
  <c r="H116" i="1"/>
  <c r="H119" i="1"/>
  <c r="H123" i="1"/>
  <c r="H124" i="1"/>
  <c r="H127" i="1"/>
  <c r="H131" i="1"/>
  <c r="H132" i="1"/>
  <c r="H135" i="1"/>
  <c r="I99" i="1"/>
  <c r="I100" i="1"/>
  <c r="I103" i="1"/>
  <c r="I107" i="1"/>
  <c r="I108" i="1"/>
  <c r="I111" i="1"/>
  <c r="I112" i="1"/>
  <c r="I115" i="1"/>
  <c r="I116" i="1"/>
  <c r="I119" i="1"/>
  <c r="I120" i="1"/>
  <c r="I123" i="1"/>
  <c r="I124" i="1"/>
  <c r="I127" i="1"/>
  <c r="I128" i="1"/>
  <c r="I131" i="1"/>
  <c r="I132" i="1"/>
  <c r="I135" i="1"/>
  <c r="I136" i="1"/>
  <c r="G67" i="1"/>
  <c r="I67" i="1" s="1"/>
  <c r="G68" i="1"/>
  <c r="I68" i="1" s="1"/>
  <c r="G69" i="1"/>
  <c r="I69" i="1" s="1"/>
  <c r="G70" i="1"/>
  <c r="H70" i="1" s="1"/>
  <c r="G71" i="1"/>
  <c r="H71" i="1" s="1"/>
  <c r="G72" i="1"/>
  <c r="H72" i="1" s="1"/>
  <c r="G73" i="1"/>
  <c r="H73" i="1" s="1"/>
  <c r="G74" i="1"/>
  <c r="H74" i="1" s="1"/>
  <c r="G75" i="1"/>
  <c r="I75" i="1" s="1"/>
  <c r="G76" i="1"/>
  <c r="I76" i="1" s="1"/>
  <c r="G77" i="1"/>
  <c r="I77" i="1" s="1"/>
  <c r="G78" i="1"/>
  <c r="H78" i="1" s="1"/>
  <c r="G79" i="1"/>
  <c r="H79" i="1" s="1"/>
  <c r="G80" i="1"/>
  <c r="G81" i="1"/>
  <c r="I81" i="1" s="1"/>
  <c r="G82" i="1"/>
  <c r="H82" i="1" s="1"/>
  <c r="G83" i="1"/>
  <c r="I83" i="1" s="1"/>
  <c r="G84" i="1"/>
  <c r="G85" i="1"/>
  <c r="I85" i="1" s="1"/>
  <c r="G86" i="1"/>
  <c r="I86" i="1" s="1"/>
  <c r="G87" i="1"/>
  <c r="G88" i="1"/>
  <c r="G89" i="1"/>
  <c r="I89" i="1" s="1"/>
  <c r="G90" i="1"/>
  <c r="I90" i="1" s="1"/>
  <c r="G91" i="1"/>
  <c r="I91" i="1" s="1"/>
  <c r="G92" i="1"/>
  <c r="H92" i="1" s="1"/>
  <c r="G93" i="1"/>
  <c r="H93" i="1" s="1"/>
  <c r="G94" i="1"/>
  <c r="I94" i="1" s="1"/>
  <c r="G95" i="1"/>
  <c r="I95" i="1" s="1"/>
  <c r="G96" i="1"/>
  <c r="H68" i="1"/>
  <c r="H69" i="1"/>
  <c r="H76" i="1"/>
  <c r="H77" i="1"/>
  <c r="H80" i="1"/>
  <c r="H81" i="1"/>
  <c r="H84" i="1"/>
  <c r="H85" i="1"/>
  <c r="H86" i="1"/>
  <c r="H87" i="1"/>
  <c r="H88" i="1"/>
  <c r="H89" i="1"/>
  <c r="H90" i="1"/>
  <c r="H95" i="1"/>
  <c r="H96" i="1"/>
  <c r="I72" i="1"/>
  <c r="I73" i="1"/>
  <c r="I74" i="1"/>
  <c r="I79" i="1"/>
  <c r="I80" i="1"/>
  <c r="I84" i="1"/>
  <c r="I87" i="1"/>
  <c r="I88" i="1"/>
  <c r="I92" i="1"/>
  <c r="I93" i="1"/>
  <c r="I96" i="1"/>
  <c r="G37" i="1"/>
  <c r="I37" i="1" s="1"/>
  <c r="G38" i="1"/>
  <c r="H38" i="1" s="1"/>
  <c r="G39" i="1"/>
  <c r="I39" i="1" s="1"/>
  <c r="G40" i="1"/>
  <c r="I40" i="1" s="1"/>
  <c r="G41" i="1"/>
  <c r="H41" i="1" s="1"/>
  <c r="G42" i="1"/>
  <c r="I42" i="1" s="1"/>
  <c r="G43" i="1"/>
  <c r="G44" i="1"/>
  <c r="G45" i="1"/>
  <c r="H45" i="1" s="1"/>
  <c r="G46" i="1"/>
  <c r="H46" i="1" s="1"/>
  <c r="G47" i="1"/>
  <c r="I47" i="1" s="1"/>
  <c r="G48" i="1"/>
  <c r="I48" i="1" s="1"/>
  <c r="G49" i="1"/>
  <c r="I49" i="1" s="1"/>
  <c r="G50" i="1"/>
  <c r="I50" i="1" s="1"/>
  <c r="G51" i="1"/>
  <c r="G52" i="1"/>
  <c r="G53" i="1"/>
  <c r="H53" i="1" s="1"/>
  <c r="G54" i="1"/>
  <c r="H54" i="1" s="1"/>
  <c r="G55" i="1"/>
  <c r="I55" i="1" s="1"/>
  <c r="G56" i="1"/>
  <c r="I56" i="1" s="1"/>
  <c r="G57" i="1"/>
  <c r="I57" i="1" s="1"/>
  <c r="G58" i="1"/>
  <c r="I58" i="1" s="1"/>
  <c r="G59" i="1"/>
  <c r="G60" i="1"/>
  <c r="I60" i="1" s="1"/>
  <c r="G61" i="1"/>
  <c r="H61" i="1" s="1"/>
  <c r="G62" i="1"/>
  <c r="H62" i="1" s="1"/>
  <c r="G63" i="1"/>
  <c r="I63" i="1" s="1"/>
  <c r="G64" i="1"/>
  <c r="I64" i="1" s="1"/>
  <c r="G65" i="1"/>
  <c r="H65" i="1" s="1"/>
  <c r="G66" i="1"/>
  <c r="I66" i="1" s="1"/>
  <c r="H43" i="1"/>
  <c r="H44" i="1"/>
  <c r="H51" i="1"/>
  <c r="H52" i="1"/>
  <c r="H57" i="1"/>
  <c r="H59" i="1"/>
  <c r="I38" i="1"/>
  <c r="I43" i="1"/>
  <c r="I44" i="1"/>
  <c r="I45" i="1"/>
  <c r="I46" i="1"/>
  <c r="I51" i="1"/>
  <c r="I52" i="1"/>
  <c r="I54" i="1"/>
  <c r="I59" i="1"/>
  <c r="I62" i="1"/>
  <c r="G7" i="1"/>
  <c r="G8" i="1"/>
  <c r="G9" i="1"/>
  <c r="I9" i="1" s="1"/>
  <c r="G10" i="1"/>
  <c r="H10" i="1" s="1"/>
  <c r="G11" i="1"/>
  <c r="I11" i="1" s="1"/>
  <c r="G12" i="1"/>
  <c r="H12" i="1" s="1"/>
  <c r="G13" i="1"/>
  <c r="H13" i="1" s="1"/>
  <c r="G14" i="1"/>
  <c r="I14" i="1" s="1"/>
  <c r="G15" i="1"/>
  <c r="G16" i="1"/>
  <c r="G17" i="1"/>
  <c r="I17" i="1" s="1"/>
  <c r="G18" i="1"/>
  <c r="H18" i="1" s="1"/>
  <c r="G19" i="1"/>
  <c r="I19" i="1" s="1"/>
  <c r="G20" i="1"/>
  <c r="I20" i="1" s="1"/>
  <c r="G21" i="1"/>
  <c r="I21" i="1" s="1"/>
  <c r="G22" i="1"/>
  <c r="I22" i="1" s="1"/>
  <c r="G23" i="1"/>
  <c r="G24" i="1"/>
  <c r="H24" i="1" s="1"/>
  <c r="G25" i="1"/>
  <c r="I25" i="1" s="1"/>
  <c r="G26" i="1"/>
  <c r="H26" i="1" s="1"/>
  <c r="G27" i="1"/>
  <c r="I27" i="1" s="1"/>
  <c r="G28" i="1"/>
  <c r="I28" i="1" s="1"/>
  <c r="G29" i="1"/>
  <c r="H29" i="1" s="1"/>
  <c r="G30" i="1"/>
  <c r="I30" i="1" s="1"/>
  <c r="G31" i="1"/>
  <c r="G32" i="1"/>
  <c r="H32" i="1" s="1"/>
  <c r="G33" i="1"/>
  <c r="I33" i="1" s="1"/>
  <c r="G34" i="1"/>
  <c r="H34" i="1" s="1"/>
  <c r="G35" i="1"/>
  <c r="I35" i="1" s="1"/>
  <c r="G36" i="1"/>
  <c r="H36" i="1" s="1"/>
  <c r="H7" i="1"/>
  <c r="H8" i="1"/>
  <c r="H15" i="1"/>
  <c r="H16" i="1"/>
  <c r="H17" i="1"/>
  <c r="H23" i="1"/>
  <c r="H31" i="1"/>
  <c r="I7" i="1"/>
  <c r="I8" i="1"/>
  <c r="I15" i="1"/>
  <c r="I16" i="1"/>
  <c r="I23" i="1"/>
  <c r="I24" i="1"/>
  <c r="I31" i="1"/>
  <c r="I32" i="1"/>
  <c r="I2" i="1"/>
  <c r="I3" i="1"/>
  <c r="I6" i="1"/>
  <c r="H2" i="1"/>
  <c r="H6" i="1"/>
  <c r="G2" i="1"/>
  <c r="G3" i="1"/>
  <c r="H3" i="1" s="1"/>
  <c r="G4" i="1"/>
  <c r="I4" i="1" s="1"/>
  <c r="G5" i="1"/>
  <c r="I5" i="1" s="1"/>
  <c r="G6" i="1"/>
  <c r="E2" i="5"/>
  <c r="C2" i="5"/>
  <c r="A2" i="5"/>
  <c r="H5" i="1" l="1"/>
  <c r="H122" i="1"/>
  <c r="H114" i="1"/>
  <c r="H197" i="1"/>
  <c r="I215" i="1"/>
  <c r="H255" i="1"/>
  <c r="I333" i="1"/>
  <c r="I325" i="1"/>
  <c r="I309" i="1"/>
  <c r="I301" i="1"/>
  <c r="H4" i="1"/>
  <c r="I34" i="1"/>
  <c r="H121" i="1"/>
  <c r="I192" i="1"/>
  <c r="H196" i="1"/>
  <c r="H211" i="1"/>
  <c r="I284" i="1"/>
  <c r="I332" i="1"/>
  <c r="I324" i="1"/>
  <c r="I316" i="1"/>
  <c r="I308" i="1"/>
  <c r="I300" i="1"/>
  <c r="H320" i="1"/>
  <c r="H304" i="1"/>
  <c r="I348" i="1"/>
  <c r="I339" i="1"/>
  <c r="H344" i="1"/>
  <c r="I82" i="1"/>
  <c r="H94" i="1"/>
  <c r="H130" i="1"/>
  <c r="I193" i="1"/>
  <c r="I177" i="1"/>
  <c r="H239" i="1"/>
  <c r="I276" i="1"/>
  <c r="H288" i="1"/>
  <c r="I317" i="1"/>
  <c r="I340" i="1"/>
  <c r="H336" i="1"/>
  <c r="I18" i="1"/>
  <c r="H33" i="1"/>
  <c r="H129" i="1"/>
  <c r="H113" i="1"/>
  <c r="I176" i="1"/>
  <c r="H185" i="1"/>
  <c r="I214" i="1"/>
  <c r="H9" i="1"/>
  <c r="I53" i="1"/>
  <c r="I41" i="1"/>
  <c r="H49" i="1"/>
  <c r="I71" i="1"/>
  <c r="H195" i="1"/>
  <c r="H181" i="1"/>
  <c r="H169" i="1"/>
  <c r="I223" i="1"/>
  <c r="I203" i="1"/>
  <c r="H210" i="1"/>
  <c r="I251" i="1"/>
  <c r="I235" i="1"/>
  <c r="I292" i="1"/>
  <c r="I283" i="1"/>
  <c r="I331" i="1"/>
  <c r="I323" i="1"/>
  <c r="I315" i="1"/>
  <c r="I307" i="1"/>
  <c r="I356" i="1"/>
  <c r="I347" i="1"/>
  <c r="H352" i="1"/>
  <c r="H342" i="1"/>
  <c r="I70" i="1"/>
  <c r="H134" i="1"/>
  <c r="H118" i="1"/>
  <c r="I201" i="1"/>
  <c r="H230" i="1"/>
  <c r="H219" i="1"/>
  <c r="H247" i="1"/>
  <c r="H231" i="1"/>
  <c r="I299" i="1"/>
  <c r="I321" i="1"/>
  <c r="I26" i="1"/>
  <c r="I10" i="1"/>
  <c r="I61" i="1"/>
  <c r="H60" i="1"/>
  <c r="I126" i="1"/>
  <c r="I110" i="1"/>
  <c r="H133" i="1"/>
  <c r="H125" i="1"/>
  <c r="H117" i="1"/>
  <c r="I147" i="1"/>
  <c r="I184" i="1"/>
  <c r="I168" i="1"/>
  <c r="H189" i="1"/>
  <c r="H229" i="1"/>
  <c r="I328" i="1"/>
  <c r="I312" i="1"/>
  <c r="I65" i="1"/>
  <c r="H25" i="1"/>
  <c r="I78" i="1"/>
  <c r="I272" i="1"/>
  <c r="I329" i="1"/>
  <c r="I313" i="1"/>
  <c r="I305" i="1"/>
  <c r="H188" i="1"/>
  <c r="H173" i="1"/>
  <c r="I207" i="1"/>
  <c r="I259" i="1"/>
  <c r="I243" i="1"/>
  <c r="H359" i="1"/>
  <c r="H351" i="1"/>
  <c r="H343" i="1"/>
  <c r="H293" i="1"/>
  <c r="H285" i="1"/>
  <c r="H277" i="1"/>
  <c r="H269" i="1"/>
  <c r="H254" i="1"/>
  <c r="H246" i="1"/>
  <c r="H238" i="1"/>
  <c r="H260" i="1"/>
  <c r="H252" i="1"/>
  <c r="H244" i="1"/>
  <c r="H236" i="1"/>
  <c r="H257" i="1"/>
  <c r="H249" i="1"/>
  <c r="H241" i="1"/>
  <c r="H233" i="1"/>
  <c r="H225" i="1"/>
  <c r="H217" i="1"/>
  <c r="H209" i="1"/>
  <c r="H224" i="1"/>
  <c r="H216" i="1"/>
  <c r="H208" i="1"/>
  <c r="I199" i="1"/>
  <c r="I191" i="1"/>
  <c r="I183" i="1"/>
  <c r="I175" i="1"/>
  <c r="I198" i="1"/>
  <c r="I190" i="1"/>
  <c r="I182" i="1"/>
  <c r="I174" i="1"/>
  <c r="H161" i="1"/>
  <c r="H153" i="1"/>
  <c r="H145" i="1"/>
  <c r="H137" i="1"/>
  <c r="H160" i="1"/>
  <c r="H152" i="1"/>
  <c r="H144" i="1"/>
  <c r="H167" i="1"/>
  <c r="H159" i="1"/>
  <c r="H151" i="1"/>
  <c r="H143" i="1"/>
  <c r="H166" i="1"/>
  <c r="H158" i="1"/>
  <c r="H150" i="1"/>
  <c r="H142" i="1"/>
  <c r="H165" i="1"/>
  <c r="H157" i="1"/>
  <c r="H149" i="1"/>
  <c r="H141" i="1"/>
  <c r="H164" i="1"/>
  <c r="H156" i="1"/>
  <c r="H148" i="1"/>
  <c r="H140" i="1"/>
  <c r="H109" i="1"/>
  <c r="H91" i="1"/>
  <c r="H83" i="1"/>
  <c r="H75" i="1"/>
  <c r="H67" i="1"/>
  <c r="H66" i="1"/>
  <c r="H58" i="1"/>
  <c r="H50" i="1"/>
  <c r="H42" i="1"/>
  <c r="H64" i="1"/>
  <c r="H56" i="1"/>
  <c r="H48" i="1"/>
  <c r="H40" i="1"/>
  <c r="H63" i="1"/>
  <c r="H55" i="1"/>
  <c r="H47" i="1"/>
  <c r="H39" i="1"/>
  <c r="H37" i="1"/>
  <c r="H30" i="1"/>
  <c r="H22" i="1"/>
  <c r="H14" i="1"/>
  <c r="H21" i="1"/>
  <c r="H28" i="1"/>
  <c r="I29" i="1"/>
  <c r="I13" i="1"/>
  <c r="H35" i="1"/>
  <c r="H27" i="1"/>
  <c r="H19" i="1"/>
  <c r="H11" i="1"/>
  <c r="H20" i="1"/>
  <c r="I36" i="1"/>
  <c r="I12" i="1"/>
  <c r="G2" i="5"/>
</calcChain>
</file>

<file path=xl/sharedStrings.xml><?xml version="1.0" encoding="utf-8"?>
<sst xmlns="http://schemas.openxmlformats.org/spreadsheetml/2006/main" count="1192" uniqueCount="47">
  <si>
    <t>Department</t>
  </si>
  <si>
    <t>Investment Banking</t>
  </si>
  <si>
    <t>Corporate Banking</t>
  </si>
  <si>
    <t>Treasury</t>
  </si>
  <si>
    <t>Risk Management</t>
  </si>
  <si>
    <t>Finance</t>
  </si>
  <si>
    <t>Technology</t>
  </si>
  <si>
    <t>Compliance</t>
  </si>
  <si>
    <t>Operations</t>
  </si>
  <si>
    <t>Expense Category</t>
  </si>
  <si>
    <t>Salaries</t>
  </si>
  <si>
    <t>Bonuses</t>
  </si>
  <si>
    <t>Travel</t>
  </si>
  <si>
    <t>Office Supplies</t>
  </si>
  <si>
    <t>Software</t>
  </si>
  <si>
    <t>Training</t>
  </si>
  <si>
    <t>Marketing</t>
  </si>
  <si>
    <t>Professional Fees</t>
  </si>
  <si>
    <t>Month</t>
  </si>
  <si>
    <t>January</t>
  </si>
  <si>
    <t>February</t>
  </si>
  <si>
    <t>March</t>
  </si>
  <si>
    <t>April</t>
  </si>
  <si>
    <t>May</t>
  </si>
  <si>
    <t>June</t>
  </si>
  <si>
    <t>July</t>
  </si>
  <si>
    <t>August</t>
  </si>
  <si>
    <t>September</t>
  </si>
  <si>
    <t>October</t>
  </si>
  <si>
    <t>November</t>
  </si>
  <si>
    <t>December</t>
  </si>
  <si>
    <t>Date</t>
  </si>
  <si>
    <t>Budget</t>
  </si>
  <si>
    <t>Actual</t>
  </si>
  <si>
    <t xml:space="preserve">Finance </t>
  </si>
  <si>
    <t>Variance</t>
  </si>
  <si>
    <t>Variance %</t>
  </si>
  <si>
    <t>Status</t>
  </si>
  <si>
    <t>Row Labels</t>
  </si>
  <si>
    <t>Grand Total</t>
  </si>
  <si>
    <t>Sum of Budget</t>
  </si>
  <si>
    <t>Sum of Actual</t>
  </si>
  <si>
    <t>Sum of Variance</t>
  </si>
  <si>
    <t>Total Budget</t>
  </si>
  <si>
    <t>Total Actual</t>
  </si>
  <si>
    <t>Total Variance</t>
  </si>
  <si>
    <t>Variance%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</si>
</sst>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5" formatCode="&quot;$&quot;#,##0_);\(&quot;$&quot;#,##0\)"/>
    <numFmt numFmtId="44" formatCode="_(&quot;$&quot;* #,##0.00_);_(&quot;$&quot;* \(#,##0.00\);_(&quot;$&quot;* &quot;-&quot;??_);_(@_)"/>
  </numFmts>
  <fonts count="6"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8"/>
      <color theme="1"/>
      <name val="Aptos Narrow"/>
      <family val="2"/>
      <scheme val="minor"/>
    </font>
    <font>
      <sz val="11"/>
      <color rgb="FF000000"/>
      <name val="Calibri"/>
      <family val="2"/>
    </font>
  </fonts>
  <fills count="3">
    <fill>
      <patternFill patternType="none"/>
    </fill>
    <fill>
      <patternFill patternType="gray125"/>
    </fill>
    <fill>
      <patternFill patternType="solid">
        <fgColor theme="3" tint="0.89999084444715716"/>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0" fontId="2" fillId="0" borderId="0" xfId="0" applyFont="1"/>
    <xf numFmtId="14" fontId="0" fillId="0" borderId="0" xfId="0" applyNumberFormat="1"/>
    <xf numFmtId="44" fontId="0" fillId="0" borderId="0" xfId="1" applyFont="1"/>
    <xf numFmtId="44" fontId="0" fillId="0" borderId="0" xfId="0" applyNumberFormat="1"/>
    <xf numFmtId="9" fontId="0" fillId="0" borderId="0" xfId="2" applyFont="1"/>
    <xf numFmtId="0" fontId="0" fillId="0" borderId="0" xfId="0" pivotButton="1"/>
    <xf numFmtId="0" fontId="0" fillId="0" borderId="0" xfId="0" applyAlignment="1">
      <alignment horizontal="left"/>
    </xf>
    <xf numFmtId="5" fontId="0" fillId="0" borderId="0" xfId="0" applyNumberFormat="1"/>
    <xf numFmtId="5" fontId="4" fillId="0" borderId="0" xfId="1" applyNumberFormat="1" applyFont="1" applyAlignment="1">
      <alignment horizontal="center"/>
    </xf>
    <xf numFmtId="0" fontId="4" fillId="0" borderId="0" xfId="0" applyFont="1" applyAlignment="1">
      <alignment horizontal="center"/>
    </xf>
    <xf numFmtId="5" fontId="4" fillId="2" borderId="1" xfId="1" applyNumberFormat="1" applyFont="1" applyFill="1" applyBorder="1" applyAlignment="1">
      <alignment horizontal="center"/>
    </xf>
    <xf numFmtId="10" fontId="4" fillId="2" borderId="1" xfId="2" applyNumberFormat="1" applyFont="1" applyFill="1" applyBorder="1" applyAlignment="1">
      <alignment horizontal="center"/>
    </xf>
    <xf numFmtId="0" fontId="0" fillId="2" borderId="1" xfId="0" applyFill="1" applyBorder="1" applyAlignment="1">
      <alignment horizontal="center"/>
    </xf>
    <xf numFmtId="0" fontId="0" fillId="0" borderId="0" xfId="0" applyAlignment="1">
      <alignment horizontal="center"/>
    </xf>
    <xf numFmtId="14" fontId="0" fillId="0" borderId="0" xfId="0" applyNumberFormat="1" applyAlignment="1">
      <alignment vertical="center" wrapText="1"/>
    </xf>
    <xf numFmtId="0" fontId="0" fillId="0" borderId="0" xfId="0" applyAlignment="1">
      <alignment vertical="center" wrapText="1"/>
    </xf>
    <xf numFmtId="44" fontId="0" fillId="0" borderId="0" xfId="1" applyFont="1" applyAlignment="1">
      <alignment vertical="center" wrapText="1"/>
    </xf>
    <xf numFmtId="0" fontId="5" fillId="0" borderId="0" xfId="0" applyFont="1"/>
    <xf numFmtId="14" fontId="5" fillId="0" borderId="0" xfId="0" applyNumberFormat="1" applyFont="1"/>
  </cellXfs>
  <cellStyles count="3">
    <cellStyle name="Currency" xfId="1" builtinId="4"/>
    <cellStyle name="Normal" xfId="0" builtinId="0"/>
    <cellStyle name="Percent" xfId="2" builtinId="5"/>
  </cellStyles>
  <dxfs count="7">
    <dxf>
      <font>
        <color rgb="FF9C0006"/>
      </font>
      <fill>
        <patternFill>
          <bgColor rgb="FFFFC7CE"/>
        </patternFill>
      </fill>
    </dxf>
    <dxf>
      <font>
        <color rgb="FF006100"/>
      </font>
      <fill>
        <patternFill>
          <bgColor rgb="FFC6EFCE"/>
        </patternFill>
      </fill>
    </dxf>
    <dxf>
      <numFmt numFmtId="0" formatCode="General"/>
    </dxf>
    <dxf>
      <numFmt numFmtId="34" formatCode="_(&quot;$&quot;* #,##0.00_);_(&quot;$&quot;* \(#,##0.00\);_(&quot;$&quot;* &quot;-&quot;??_);_(@_)"/>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 and A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c:f>
              <c:strCache>
                <c:ptCount val="1"/>
                <c:pt idx="0">
                  <c:v>Sum of Budget</c:v>
                </c:pt>
              </c:strCache>
            </c:strRef>
          </c:tx>
          <c:spPr>
            <a:solidFill>
              <a:schemeClr val="accent1"/>
            </a:solidFill>
            <a:ln>
              <a:noFill/>
            </a:ln>
            <a:effectLst/>
          </c:spPr>
          <c:invertIfNegative val="0"/>
          <c:cat>
            <c:strRef>
              <c:f>'Pivot Tables'!$A$2:$A$11</c:f>
              <c:strCache>
                <c:ptCount val="9"/>
                <c:pt idx="0">
                  <c:v>Finance </c:v>
                </c:pt>
                <c:pt idx="1">
                  <c:v>Operations</c:v>
                </c:pt>
                <c:pt idx="2">
                  <c:v>Technology</c:v>
                </c:pt>
                <c:pt idx="3">
                  <c:v>Treasury</c:v>
                </c:pt>
                <c:pt idx="4">
                  <c:v>Investment Banking</c:v>
                </c:pt>
                <c:pt idx="5">
                  <c:v>Corporate Banking</c:v>
                </c:pt>
                <c:pt idx="6">
                  <c:v>Finance</c:v>
                </c:pt>
                <c:pt idx="7">
                  <c:v>Risk Management</c:v>
                </c:pt>
                <c:pt idx="8">
                  <c:v>Compliance</c:v>
                </c:pt>
              </c:strCache>
            </c:strRef>
          </c:cat>
          <c:val>
            <c:numRef>
              <c:f>'Pivot Tables'!$B$2:$B$11</c:f>
              <c:numCache>
                <c:formatCode>"$"#,##0_);\("$"#,##0\)</c:formatCode>
                <c:ptCount val="9"/>
                <c:pt idx="0">
                  <c:v>57000</c:v>
                </c:pt>
                <c:pt idx="1">
                  <c:v>1102422</c:v>
                </c:pt>
                <c:pt idx="2">
                  <c:v>940538</c:v>
                </c:pt>
                <c:pt idx="3">
                  <c:v>884149</c:v>
                </c:pt>
                <c:pt idx="4">
                  <c:v>1180204</c:v>
                </c:pt>
                <c:pt idx="5">
                  <c:v>1651285</c:v>
                </c:pt>
                <c:pt idx="6">
                  <c:v>1228473</c:v>
                </c:pt>
                <c:pt idx="7">
                  <c:v>625710</c:v>
                </c:pt>
                <c:pt idx="8">
                  <c:v>954952</c:v>
                </c:pt>
              </c:numCache>
            </c:numRef>
          </c:val>
          <c:extLst>
            <c:ext xmlns:c16="http://schemas.microsoft.com/office/drawing/2014/chart" uri="{C3380CC4-5D6E-409C-BE32-E72D297353CC}">
              <c16:uniqueId val="{00000000-3AB8-4FF8-9730-B3FB255715E7}"/>
            </c:ext>
          </c:extLst>
        </c:ser>
        <c:ser>
          <c:idx val="1"/>
          <c:order val="1"/>
          <c:tx>
            <c:strRef>
              <c:f>'Pivot Tables'!$C$1</c:f>
              <c:strCache>
                <c:ptCount val="1"/>
                <c:pt idx="0">
                  <c:v>Sum of Actual</c:v>
                </c:pt>
              </c:strCache>
            </c:strRef>
          </c:tx>
          <c:spPr>
            <a:solidFill>
              <a:schemeClr val="accent2"/>
            </a:solidFill>
            <a:ln>
              <a:noFill/>
            </a:ln>
            <a:effectLst/>
          </c:spPr>
          <c:invertIfNegative val="0"/>
          <c:cat>
            <c:strRef>
              <c:f>'Pivot Tables'!$A$2:$A$11</c:f>
              <c:strCache>
                <c:ptCount val="9"/>
                <c:pt idx="0">
                  <c:v>Finance </c:v>
                </c:pt>
                <c:pt idx="1">
                  <c:v>Operations</c:v>
                </c:pt>
                <c:pt idx="2">
                  <c:v>Technology</c:v>
                </c:pt>
                <c:pt idx="3">
                  <c:v>Treasury</c:v>
                </c:pt>
                <c:pt idx="4">
                  <c:v>Investment Banking</c:v>
                </c:pt>
                <c:pt idx="5">
                  <c:v>Corporate Banking</c:v>
                </c:pt>
                <c:pt idx="6">
                  <c:v>Finance</c:v>
                </c:pt>
                <c:pt idx="7">
                  <c:v>Risk Management</c:v>
                </c:pt>
                <c:pt idx="8">
                  <c:v>Compliance</c:v>
                </c:pt>
              </c:strCache>
            </c:strRef>
          </c:cat>
          <c:val>
            <c:numRef>
              <c:f>'Pivot Tables'!$C$2:$C$11</c:f>
              <c:numCache>
                <c:formatCode>_("$"* #,##0.00_);_("$"* \(#,##0.00\);_("$"* "-"??_);_(@_)</c:formatCode>
                <c:ptCount val="9"/>
                <c:pt idx="0">
                  <c:v>57700</c:v>
                </c:pt>
                <c:pt idx="1">
                  <c:v>1096412.3600000001</c:v>
                </c:pt>
                <c:pt idx="2">
                  <c:v>944170.33000000007</c:v>
                </c:pt>
                <c:pt idx="3">
                  <c:v>895937.03999999992</c:v>
                </c:pt>
                <c:pt idx="4">
                  <c:v>1197495.9799999997</c:v>
                </c:pt>
                <c:pt idx="5">
                  <c:v>1652404.0599999996</c:v>
                </c:pt>
                <c:pt idx="6">
                  <c:v>1242043.23</c:v>
                </c:pt>
                <c:pt idx="7">
                  <c:v>628459.69000000006</c:v>
                </c:pt>
                <c:pt idx="8">
                  <c:v>963862.12999999989</c:v>
                </c:pt>
              </c:numCache>
            </c:numRef>
          </c:val>
          <c:extLst>
            <c:ext xmlns:c16="http://schemas.microsoft.com/office/drawing/2014/chart" uri="{C3380CC4-5D6E-409C-BE32-E72D297353CC}">
              <c16:uniqueId val="{00000001-3AB8-4FF8-9730-B3FB255715E7}"/>
            </c:ext>
          </c:extLst>
        </c:ser>
        <c:ser>
          <c:idx val="2"/>
          <c:order val="2"/>
          <c:tx>
            <c:strRef>
              <c:f>'Pivot Tables'!$D$1</c:f>
              <c:strCache>
                <c:ptCount val="1"/>
                <c:pt idx="0">
                  <c:v>Sum of Variance</c:v>
                </c:pt>
              </c:strCache>
            </c:strRef>
          </c:tx>
          <c:spPr>
            <a:solidFill>
              <a:schemeClr val="accent3"/>
            </a:solidFill>
            <a:ln>
              <a:noFill/>
            </a:ln>
            <a:effectLst/>
          </c:spPr>
          <c:invertIfNegative val="0"/>
          <c:cat>
            <c:strRef>
              <c:f>'Pivot Tables'!$A$2:$A$11</c:f>
              <c:strCache>
                <c:ptCount val="9"/>
                <c:pt idx="0">
                  <c:v>Finance </c:v>
                </c:pt>
                <c:pt idx="1">
                  <c:v>Operations</c:v>
                </c:pt>
                <c:pt idx="2">
                  <c:v>Technology</c:v>
                </c:pt>
                <c:pt idx="3">
                  <c:v>Treasury</c:v>
                </c:pt>
                <c:pt idx="4">
                  <c:v>Investment Banking</c:v>
                </c:pt>
                <c:pt idx="5">
                  <c:v>Corporate Banking</c:v>
                </c:pt>
                <c:pt idx="6">
                  <c:v>Finance</c:v>
                </c:pt>
                <c:pt idx="7">
                  <c:v>Risk Management</c:v>
                </c:pt>
                <c:pt idx="8">
                  <c:v>Compliance</c:v>
                </c:pt>
              </c:strCache>
            </c:strRef>
          </c:cat>
          <c:val>
            <c:numRef>
              <c:f>'Pivot Tables'!$D$2:$D$11</c:f>
              <c:numCache>
                <c:formatCode>_("$"* #,##0.00_);_("$"* \(#,##0.00\);_("$"* "-"??_);_(@_)</c:formatCode>
                <c:ptCount val="9"/>
                <c:pt idx="0">
                  <c:v>700</c:v>
                </c:pt>
                <c:pt idx="1">
                  <c:v>-6009.6399999999976</c:v>
                </c:pt>
                <c:pt idx="2">
                  <c:v>3632.3300000000045</c:v>
                </c:pt>
                <c:pt idx="3">
                  <c:v>11788.040000000006</c:v>
                </c:pt>
                <c:pt idx="4">
                  <c:v>17291.980000000003</c:v>
                </c:pt>
                <c:pt idx="5">
                  <c:v>1119.0599999999995</c:v>
                </c:pt>
                <c:pt idx="6">
                  <c:v>13570.230000000005</c:v>
                </c:pt>
                <c:pt idx="7">
                  <c:v>2749.6900000000046</c:v>
                </c:pt>
                <c:pt idx="8">
                  <c:v>8910.1300000000156</c:v>
                </c:pt>
              </c:numCache>
            </c:numRef>
          </c:val>
          <c:extLst>
            <c:ext xmlns:c16="http://schemas.microsoft.com/office/drawing/2014/chart" uri="{C3380CC4-5D6E-409C-BE32-E72D297353CC}">
              <c16:uniqueId val="{00000004-3AB8-4FF8-9730-B3FB255715E7}"/>
            </c:ext>
          </c:extLst>
        </c:ser>
        <c:dLbls>
          <c:showLegendKey val="0"/>
          <c:showVal val="0"/>
          <c:showCatName val="0"/>
          <c:showSerName val="0"/>
          <c:showPercent val="0"/>
          <c:showBubbleSize val="0"/>
        </c:dLbls>
        <c:gapWidth val="219"/>
        <c:overlap val="-27"/>
        <c:axId val="1746790063"/>
        <c:axId val="1746791023"/>
      </c:barChart>
      <c:catAx>
        <c:axId val="1746790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91023"/>
        <c:crosses val="autoZero"/>
        <c:auto val="1"/>
        <c:lblAlgn val="ctr"/>
        <c:lblOffset val="100"/>
        <c:noMultiLvlLbl val="0"/>
      </c:catAx>
      <c:valAx>
        <c:axId val="1746791023"/>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6790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Variance</a:t>
            </a:r>
            <a:r>
              <a:rPr lang="en-US" baseline="0"/>
              <a:t> by Expense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Series1</c:v>
          </c:tx>
          <c:spPr>
            <a:solidFill>
              <a:schemeClr val="accent1"/>
            </a:solidFill>
            <a:ln>
              <a:noFill/>
            </a:ln>
            <a:effectLst/>
          </c:spPr>
          <c:invertIfNegative val="0"/>
          <c:cat>
            <c:strLit>
              <c:ptCount val="8"/>
              <c:pt idx="0">
                <c:v> $1.00 </c:v>
              </c:pt>
              <c:pt idx="1">
                <c:v> $2.00 </c:v>
              </c:pt>
              <c:pt idx="2">
                <c:v> $3.00 </c:v>
              </c:pt>
              <c:pt idx="3">
                <c:v> $4.00 </c:v>
              </c:pt>
              <c:pt idx="4">
                <c:v> $5.00 </c:v>
              </c:pt>
              <c:pt idx="5">
                <c:v> $6.00 </c:v>
              </c:pt>
              <c:pt idx="6">
                <c:v> $7.00 </c:v>
              </c:pt>
              <c:pt idx="7">
                <c:v> $8.00 </c:v>
              </c:pt>
            </c:strLit>
          </c:cat>
          <c:val>
            <c:numLit>
              <c:formatCode>General</c:formatCode>
              <c:ptCount val="8"/>
              <c:pt idx="0">
                <c:v>1900</c:v>
              </c:pt>
              <c:pt idx="1">
                <c:v>-1000</c:v>
              </c:pt>
              <c:pt idx="2">
                <c:v>-1000</c:v>
              </c:pt>
              <c:pt idx="3">
                <c:v>2200</c:v>
              </c:pt>
              <c:pt idx="4">
                <c:v>6800</c:v>
              </c:pt>
              <c:pt idx="5">
                <c:v>-2900</c:v>
              </c:pt>
              <c:pt idx="6">
                <c:v>-900</c:v>
              </c:pt>
              <c:pt idx="7">
                <c:v>3300</c:v>
              </c:pt>
            </c:numLit>
          </c:val>
          <c:extLst>
            <c:ext xmlns:c16="http://schemas.microsoft.com/office/drawing/2014/chart" uri="{C3380CC4-5D6E-409C-BE32-E72D297353CC}">
              <c16:uniqueId val="{00000000-152F-4D5E-B7D8-789929511F39}"/>
            </c:ext>
          </c:extLst>
        </c:ser>
        <c:dLbls>
          <c:showLegendKey val="0"/>
          <c:showVal val="0"/>
          <c:showCatName val="0"/>
          <c:showSerName val="0"/>
          <c:showPercent val="0"/>
          <c:showBubbleSize val="0"/>
        </c:dLbls>
        <c:gapWidth val="182"/>
        <c:axId val="1747724511"/>
        <c:axId val="1747729791"/>
      </c:barChart>
      <c:catAx>
        <c:axId val="174772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29791"/>
        <c:crosses val="autoZero"/>
        <c:auto val="1"/>
        <c:lblAlgn val="ctr"/>
        <c:lblOffset val="100"/>
        <c:noMultiLvlLbl val="0"/>
      </c:catAx>
      <c:valAx>
        <c:axId val="17477297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4772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 and A dashboard.xlsx]Pivot Tables!PivotTable3</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vs  Actual by Month</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Tables'!$B$15</c:f>
              <c:strCache>
                <c:ptCount val="1"/>
                <c:pt idx="0">
                  <c:v>Sum of Budget</c:v>
                </c:pt>
              </c:strCache>
            </c:strRef>
          </c:tx>
          <c:spPr>
            <a:ln w="28575" cap="rnd">
              <a:solidFill>
                <a:schemeClr val="accent1"/>
              </a:solidFill>
              <a:round/>
            </a:ln>
            <a:effectLst/>
          </c:spPr>
          <c:marker>
            <c:symbol val="none"/>
          </c:marker>
          <c:cat>
            <c:strRef>
              <c:f>'Pivot Tables'!$A$16:$A$28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Tables'!$B$16:$B$28</c:f>
              <c:numCache>
                <c:formatCode>_("$"* #,##0.00_);_("$"* \(#,##0.00\);_("$"* "-"??_);_(@_)</c:formatCode>
                <c:ptCount val="12"/>
                <c:pt idx="0">
                  <c:v>955200</c:v>
                </c:pt>
                <c:pt idx="1">
                  <c:v>886300</c:v>
                </c:pt>
                <c:pt idx="2">
                  <c:v>902500</c:v>
                </c:pt>
                <c:pt idx="3">
                  <c:v>619673</c:v>
                </c:pt>
                <c:pt idx="4">
                  <c:v>536302</c:v>
                </c:pt>
                <c:pt idx="5">
                  <c:v>596161</c:v>
                </c:pt>
                <c:pt idx="6">
                  <c:v>489411</c:v>
                </c:pt>
                <c:pt idx="7">
                  <c:v>864914</c:v>
                </c:pt>
                <c:pt idx="8">
                  <c:v>431371</c:v>
                </c:pt>
                <c:pt idx="9">
                  <c:v>890293</c:v>
                </c:pt>
                <c:pt idx="10">
                  <c:v>866144</c:v>
                </c:pt>
                <c:pt idx="11">
                  <c:v>586464</c:v>
                </c:pt>
              </c:numCache>
            </c:numRef>
          </c:val>
          <c:smooth val="0"/>
          <c:extLst>
            <c:ext xmlns:c16="http://schemas.microsoft.com/office/drawing/2014/chart" uri="{C3380CC4-5D6E-409C-BE32-E72D297353CC}">
              <c16:uniqueId val="{00000000-89C6-4E61-9AE4-B6760426FA6F}"/>
            </c:ext>
          </c:extLst>
        </c:ser>
        <c:ser>
          <c:idx val="1"/>
          <c:order val="1"/>
          <c:tx>
            <c:strRef>
              <c:f>'Pivot Tables'!$C$15</c:f>
              <c:strCache>
                <c:ptCount val="1"/>
                <c:pt idx="0">
                  <c:v>Sum of Actual</c:v>
                </c:pt>
              </c:strCache>
            </c:strRef>
          </c:tx>
          <c:spPr>
            <a:ln w="28575" cap="rnd">
              <a:solidFill>
                <a:schemeClr val="accent2"/>
              </a:solidFill>
              <a:round/>
            </a:ln>
            <a:effectLst/>
          </c:spPr>
          <c:marker>
            <c:symbol val="none"/>
          </c:marker>
          <c:cat>
            <c:strRef>
              <c:f>'Pivot Tables'!$A$16:$A$28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Tables'!$C$16:$C$28</c:f>
              <c:numCache>
                <c:formatCode>_("$"* #,##0.00_);_("$"* \(#,##0.00\);_("$"* "-"??_);_(@_)</c:formatCode>
                <c:ptCount val="12"/>
                <c:pt idx="0">
                  <c:v>960300</c:v>
                </c:pt>
                <c:pt idx="1">
                  <c:v>889600</c:v>
                </c:pt>
                <c:pt idx="2">
                  <c:v>905400</c:v>
                </c:pt>
                <c:pt idx="3">
                  <c:v>644987.32000000007</c:v>
                </c:pt>
                <c:pt idx="4">
                  <c:v>540180.64000000013</c:v>
                </c:pt>
                <c:pt idx="5">
                  <c:v>595063.08000000019</c:v>
                </c:pt>
                <c:pt idx="6">
                  <c:v>494961.48</c:v>
                </c:pt>
                <c:pt idx="7">
                  <c:v>847848.32</c:v>
                </c:pt>
                <c:pt idx="8">
                  <c:v>422377.9800000001</c:v>
                </c:pt>
                <c:pt idx="9">
                  <c:v>897942.62999999966</c:v>
                </c:pt>
                <c:pt idx="10">
                  <c:v>894355.20999999985</c:v>
                </c:pt>
                <c:pt idx="11">
                  <c:v>585468.16000000015</c:v>
                </c:pt>
              </c:numCache>
            </c:numRef>
          </c:val>
          <c:smooth val="0"/>
          <c:extLst>
            <c:ext xmlns:c16="http://schemas.microsoft.com/office/drawing/2014/chart" uri="{C3380CC4-5D6E-409C-BE32-E72D297353CC}">
              <c16:uniqueId val="{00000001-89C6-4E61-9AE4-B6760426FA6F}"/>
            </c:ext>
          </c:extLst>
        </c:ser>
        <c:dLbls>
          <c:showLegendKey val="0"/>
          <c:showVal val="0"/>
          <c:showCatName val="0"/>
          <c:showSerName val="0"/>
          <c:showPercent val="0"/>
          <c:showBubbleSize val="0"/>
        </c:dLbls>
        <c:smooth val="0"/>
        <c:axId val="1889562463"/>
        <c:axId val="1889561983"/>
      </c:lineChart>
      <c:catAx>
        <c:axId val="18895624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61983"/>
        <c:crosses val="autoZero"/>
        <c:auto val="1"/>
        <c:lblAlgn val="ctr"/>
        <c:lblOffset val="100"/>
        <c:noMultiLvlLbl val="0"/>
      </c:catAx>
      <c:valAx>
        <c:axId val="18895619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9562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[fp and A dashboard.xlsx]Pivot Tables!PivotTable6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Budget</a:t>
            </a:r>
            <a:r>
              <a:rPr lang="en-US" baseline="0"/>
              <a:t> Allocation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s>
    <c:plotArea>
      <c:layout/>
      <c:pieChart>
        <c:varyColors val="1"/>
        <c:ser>
          <c:idx val="0"/>
          <c:order val="0"/>
          <c:tx>
            <c:strRef>
              <c:f>'Pivot Tables'!$B$35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0D-40E6-93BC-9F53FD3ED19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0D-40E6-93BC-9F53FD3ED19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0D-40E6-93BC-9F53FD3ED19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0D-40E6-93BC-9F53FD3ED19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0D-40E6-93BC-9F53FD3ED193}"/>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3D0D-40E6-93BC-9F53FD3ED193}"/>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3D0D-40E6-93BC-9F53FD3ED193}"/>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3D0D-40E6-93BC-9F53FD3ED193}"/>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3D0D-40E6-93BC-9F53FD3ED193}"/>
              </c:ext>
            </c:extLst>
          </c:dPt>
          <c:cat>
            <c:strRef>
              <c:f>'Pivot Tables'!$A$36:$A$45</c:f>
              <c:strCache>
                <c:ptCount val="9"/>
                <c:pt idx="0">
                  <c:v>Compliance</c:v>
                </c:pt>
                <c:pt idx="1">
                  <c:v>Corporate Banking</c:v>
                </c:pt>
                <c:pt idx="2">
                  <c:v>Finance</c:v>
                </c:pt>
                <c:pt idx="3">
                  <c:v>Finance </c:v>
                </c:pt>
                <c:pt idx="4">
                  <c:v>Investment Banking</c:v>
                </c:pt>
                <c:pt idx="5">
                  <c:v>Operations</c:v>
                </c:pt>
                <c:pt idx="6">
                  <c:v>Risk Management</c:v>
                </c:pt>
                <c:pt idx="7">
                  <c:v>Technology</c:v>
                </c:pt>
                <c:pt idx="8">
                  <c:v>Treasury</c:v>
                </c:pt>
              </c:strCache>
            </c:strRef>
          </c:cat>
          <c:val>
            <c:numRef>
              <c:f>'Pivot Tables'!$B$36:$B$45</c:f>
              <c:numCache>
                <c:formatCode>_("$"* #,##0.00_);_("$"* \(#,##0.00\);_("$"* "-"??_);_(@_)</c:formatCode>
                <c:ptCount val="9"/>
                <c:pt idx="0">
                  <c:v>954952</c:v>
                </c:pt>
                <c:pt idx="1">
                  <c:v>1651285</c:v>
                </c:pt>
                <c:pt idx="2">
                  <c:v>1228473</c:v>
                </c:pt>
                <c:pt idx="3">
                  <c:v>57000</c:v>
                </c:pt>
                <c:pt idx="4">
                  <c:v>1180204</c:v>
                </c:pt>
                <c:pt idx="5">
                  <c:v>1102422</c:v>
                </c:pt>
                <c:pt idx="6">
                  <c:v>625710</c:v>
                </c:pt>
                <c:pt idx="7">
                  <c:v>940538</c:v>
                </c:pt>
                <c:pt idx="8">
                  <c:v>884149</c:v>
                </c:pt>
              </c:numCache>
            </c:numRef>
          </c:val>
          <c:extLst>
            <c:ext xmlns:c16="http://schemas.microsoft.com/office/drawing/2014/chart" uri="{C3380CC4-5D6E-409C-BE32-E72D297353CC}">
              <c16:uniqueId val="{00000012-3D0D-40E6-93BC-9F53FD3ED19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7</xdr:col>
      <xdr:colOff>9525</xdr:colOff>
      <xdr:row>22</xdr:row>
      <xdr:rowOff>76200</xdr:rowOff>
    </xdr:to>
    <xdr:graphicFrame macro="">
      <xdr:nvGraphicFramePr>
        <xdr:cNvPr id="2" name="Chart 1">
          <a:extLst>
            <a:ext uri="{FF2B5EF4-FFF2-40B4-BE49-F238E27FC236}">
              <a16:creationId xmlns:a16="http://schemas.microsoft.com/office/drawing/2014/main" id="{E86FFFC5-5CA7-4655-BBD2-4F25F78C30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23</xdr:col>
      <xdr:colOff>161925</xdr:colOff>
      <xdr:row>8</xdr:row>
      <xdr:rowOff>38100</xdr:rowOff>
    </xdr:from>
    <xdr:to>
      <xdr:col>26</xdr:col>
      <xdr:colOff>161925</xdr:colOff>
      <xdr:row>22</xdr:row>
      <xdr:rowOff>38100</xdr:rowOff>
    </xdr:to>
    <mc:AlternateContent xmlns:mc="http://schemas.openxmlformats.org/markup-compatibility/2006" xmlns:a14="http://schemas.microsoft.com/office/drawing/2010/main">
      <mc:Choice Requires="a14">
        <xdr:graphicFrame macro="">
          <xdr:nvGraphicFramePr>
            <xdr:cNvPr id="3" name="Department">
              <a:extLst>
                <a:ext uri="{FF2B5EF4-FFF2-40B4-BE49-F238E27FC236}">
                  <a16:creationId xmlns:a16="http://schemas.microsoft.com/office/drawing/2014/main" id="{8BB0BBE1-E023-4AB9-826F-39877C180FBE}"/>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15944850" y="16764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590550</xdr:colOff>
      <xdr:row>8</xdr:row>
      <xdr:rowOff>9525</xdr:rowOff>
    </xdr:from>
    <xdr:to>
      <xdr:col>22</xdr:col>
      <xdr:colOff>590550</xdr:colOff>
      <xdr:row>22</xdr:row>
      <xdr:rowOff>9525</xdr:rowOff>
    </xdr:to>
    <mc:AlternateContent xmlns:mc="http://schemas.openxmlformats.org/markup-compatibility/2006" xmlns:a14="http://schemas.microsoft.com/office/drawing/2010/main">
      <mc:Choice Requires="a14">
        <xdr:graphicFrame macro="">
          <xdr:nvGraphicFramePr>
            <xdr:cNvPr id="6" name="Month">
              <a:extLst>
                <a:ext uri="{FF2B5EF4-FFF2-40B4-BE49-F238E27FC236}">
                  <a16:creationId xmlns:a16="http://schemas.microsoft.com/office/drawing/2014/main" id="{24DE1489-33AC-4764-9B87-7193A353E28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3935075" y="164782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19050</xdr:colOff>
      <xdr:row>23</xdr:row>
      <xdr:rowOff>190499</xdr:rowOff>
    </xdr:from>
    <xdr:to>
      <xdr:col>6</xdr:col>
      <xdr:colOff>685800</xdr:colOff>
      <xdr:row>38</xdr:row>
      <xdr:rowOff>66674</xdr:rowOff>
    </xdr:to>
    <xdr:graphicFrame macro="">
      <xdr:nvGraphicFramePr>
        <xdr:cNvPr id="8" name="Chart 7">
          <a:extLst>
            <a:ext uri="{FF2B5EF4-FFF2-40B4-BE49-F238E27FC236}">
              <a16:creationId xmlns:a16="http://schemas.microsoft.com/office/drawing/2014/main" id="{33FEF5DC-F3A2-4058-9A4F-C10E64CF3B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19049</xdr:colOff>
      <xdr:row>7</xdr:row>
      <xdr:rowOff>180974</xdr:rowOff>
    </xdr:from>
    <xdr:to>
      <xdr:col>17</xdr:col>
      <xdr:colOff>600074</xdr:colOff>
      <xdr:row>22</xdr:row>
      <xdr:rowOff>57149</xdr:rowOff>
    </xdr:to>
    <xdr:graphicFrame macro="">
      <xdr:nvGraphicFramePr>
        <xdr:cNvPr id="10" name="Chart 9">
          <a:extLst>
            <a:ext uri="{FF2B5EF4-FFF2-40B4-BE49-F238E27FC236}">
              <a16:creationId xmlns:a16="http://schemas.microsoft.com/office/drawing/2014/main" id="{B728C093-5D41-4FD2-9BF0-A16CB672BE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23</xdr:row>
      <xdr:rowOff>171450</xdr:rowOff>
    </xdr:from>
    <xdr:to>
      <xdr:col>18</xdr:col>
      <xdr:colOff>0</xdr:colOff>
      <xdr:row>38</xdr:row>
      <xdr:rowOff>76200</xdr:rowOff>
    </xdr:to>
    <xdr:graphicFrame macro="">
      <xdr:nvGraphicFramePr>
        <xdr:cNvPr id="13" name="Chart 12">
          <a:extLst>
            <a:ext uri="{FF2B5EF4-FFF2-40B4-BE49-F238E27FC236}">
              <a16:creationId xmlns:a16="http://schemas.microsoft.com/office/drawing/2014/main" id="{E4EB84FC-D1A2-4B2C-B0E9-E07BCFAFF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285750</xdr:colOff>
      <xdr:row>28</xdr:row>
      <xdr:rowOff>114299</xdr:rowOff>
    </xdr:from>
    <xdr:to>
      <xdr:col>26</xdr:col>
      <xdr:colOff>38100</xdr:colOff>
      <xdr:row>40</xdr:row>
      <xdr:rowOff>104775</xdr:rowOff>
    </xdr:to>
    <xdr:sp macro="" textlink="">
      <xdr:nvSpPr>
        <xdr:cNvPr id="16" name="TextBox 15">
          <a:extLst>
            <a:ext uri="{FF2B5EF4-FFF2-40B4-BE49-F238E27FC236}">
              <a16:creationId xmlns:a16="http://schemas.microsoft.com/office/drawing/2014/main" id="{1E550FB8-8F5D-148E-9293-2DAFBDCF888F}"/>
            </a:ext>
          </a:extLst>
        </xdr:cNvPr>
        <xdr:cNvSpPr txBox="1"/>
      </xdr:nvSpPr>
      <xdr:spPr>
        <a:xfrm rot="10800000" flipV="1">
          <a:off x="13630275" y="5562599"/>
          <a:ext cx="4019550" cy="227647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0"/>
            <a:t>◦Salaries </a:t>
          </a:r>
          <a:r>
            <a:rPr lang="en-US"/>
            <a:t>generated </a:t>
          </a:r>
          <a:r>
            <a:rPr lang="en-US" b="0"/>
            <a:t>the largest positive budget variance </a:t>
          </a:r>
          <a:r>
            <a:rPr lang="en-US"/>
            <a:t>(+$27,555.88), indicating they contributed the most to overspending.</a:t>
          </a:r>
        </a:p>
        <a:p>
          <a:r>
            <a:rPr lang="en-US" b="0"/>
            <a:t>◦Investment Banking recorded the largest departmental budget </a:t>
          </a:r>
        </a:p>
        <a:p>
          <a:r>
            <a:rPr lang="en-US" b="0" baseline="0"/>
            <a:t>   </a:t>
          </a:r>
          <a:r>
            <a:rPr lang="en-US" b="0"/>
            <a:t>variance (+$17,291.98), followed by Finance (+$13,570.23) and      </a:t>
          </a:r>
          <a:r>
            <a:rPr lang="en-US" b="0" baseline="0"/>
            <a:t>  </a:t>
          </a:r>
          <a:r>
            <a:rPr lang="en-US" b="0"/>
            <a:t>Treasury (+$11,788.04). </a:t>
          </a:r>
        </a:p>
        <a:p>
          <a:r>
            <a:rPr lang="en-US" b="0"/>
            <a:t>◦Overall actual spending exceeded the annual budget by $53,751.82,   representing approximately 0.62% above budget. </a:t>
          </a:r>
        </a:p>
        <a:p>
          <a:r>
            <a:rPr lang="en-US" b="0"/>
            <a:t>◦Monthly spending remained relatively stable, with actual expenses tracking closely to budget throughout the year.</a:t>
          </a:r>
        </a:p>
        <a:p>
          <a:r>
            <a:rPr lang="en-US" b="0"/>
            <a:t>◦Corporate Banking recorded the highest annual budget allocation ($1,651,285).</a:t>
          </a:r>
          <a:endParaRPr lang="en-US" sz="1100" b="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jo-Awosika, Temiloluwa" refreshedDate="46217.61710289352" createdVersion="8" refreshedVersion="8" minRefreshableVersion="3" recordCount="365" xr:uid="{AB2E7117-FF0B-4575-8D00-77D73D78372C}">
  <cacheSource type="worksheet">
    <worksheetSource name="FinancialData"/>
  </cacheSource>
  <cacheFields count="9">
    <cacheField name="Date" numFmtId="14">
      <sharedItems containsSemiMixedTypes="0" containsNonDate="0" containsDate="1" containsString="0" minDate="2026-01-05T00:00:00" maxDate="2026-12-31T00:00:00"/>
    </cacheField>
    <cacheField name="Month" numFmtId="0">
      <sharedItems count="12">
        <s v="January"/>
        <s v="February"/>
        <s v="March"/>
        <s v="April"/>
        <s v="May"/>
        <s v="June"/>
        <s v="July"/>
        <s v="August"/>
        <s v="September"/>
        <s v="October"/>
        <s v="November"/>
        <s v="December"/>
      </sharedItems>
    </cacheField>
    <cacheField name="Department" numFmtId="0">
      <sharedItems count="9">
        <s v="Finance "/>
        <s v="Treasury"/>
        <s v="Operations"/>
        <s v="Technology"/>
        <s v="Investment Banking"/>
        <s v="Corporate Banking"/>
        <s v="Finance"/>
        <s v="Risk Management"/>
        <s v="Compliance"/>
      </sharedItems>
    </cacheField>
    <cacheField name="Expense Category" numFmtId="0">
      <sharedItems count="8">
        <s v="Salaries"/>
        <s v="Software"/>
        <s v="Travel"/>
        <s v="Training"/>
        <s v="Bonuses"/>
        <s v="Marketing"/>
        <s v="Professional Fees"/>
        <s v="Office Supplies"/>
      </sharedItems>
    </cacheField>
    <cacheField name="Budget" numFmtId="44">
      <sharedItems containsSemiMixedTypes="0" containsString="0" containsNumber="1" containsInteger="1" minValue="2020" maxValue="129835"/>
    </cacheField>
    <cacheField name="Actual" numFmtId="44">
      <sharedItems containsSemiMixedTypes="0" containsString="0" containsNumber="1" minValue="1889.12" maxValue="137408.6"/>
    </cacheField>
    <cacheField name="Variance" numFmtId="44">
      <sharedItems containsSemiMixedTypes="0" containsString="0" containsNumber="1" minValue="-10170.350000000006" maxValue="10378.450000000012"/>
    </cacheField>
    <cacheField name="Variance %" numFmtId="9">
      <sharedItems containsSemiMixedTypes="0" containsString="0" containsNumber="1" minValue="-0.26666666666666666" maxValue="0.35555555555555557"/>
    </cacheField>
    <cacheField name="Status" numFmtId="0">
      <sharedItems/>
    </cacheField>
  </cacheFields>
  <extLst>
    <ext xmlns:x14="http://schemas.microsoft.com/office/spreadsheetml/2009/9/main" uri="{725AE2AE-9491-48be-B2B4-4EB974FC3084}">
      <x14:pivotCacheDefinition pivotCacheId="1868047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5">
  <r>
    <d v="2026-01-05T00:00:00"/>
    <x v="0"/>
    <x v="0"/>
    <x v="0"/>
    <n v="50000"/>
    <n v="51500"/>
    <n v="1500"/>
    <n v="0.03"/>
    <s v="over budget"/>
  </r>
  <r>
    <d v="2026-01-08T00:00:00"/>
    <x v="0"/>
    <x v="0"/>
    <x v="1"/>
    <n v="7000"/>
    <n v="6200"/>
    <n v="-800"/>
    <n v="-0.11428571428571428"/>
    <s v="under budget"/>
  </r>
  <r>
    <d v="2026-01-10T00:00:00"/>
    <x v="0"/>
    <x v="1"/>
    <x v="2"/>
    <n v="4500"/>
    <n v="6100"/>
    <n v="1600"/>
    <n v="0.35555555555555557"/>
    <s v="over budget"/>
  </r>
  <r>
    <d v="2026-01-15T00:00:00"/>
    <x v="0"/>
    <x v="2"/>
    <x v="3"/>
    <n v="3000"/>
    <n v="2200"/>
    <n v="-800"/>
    <n v="-0.26666666666666666"/>
    <s v="under budget"/>
  </r>
  <r>
    <d v="2026-01-20T00:00:00"/>
    <x v="0"/>
    <x v="3"/>
    <x v="1"/>
    <n v="12000"/>
    <n v="11300"/>
    <n v="-700"/>
    <n v="-5.8333333333333334E-2"/>
    <s v="under budget"/>
  </r>
  <r>
    <d v="2026-01-21T00:00:00"/>
    <x v="0"/>
    <x v="4"/>
    <x v="0"/>
    <n v="125000"/>
    <n v="127500"/>
    <n v="2500"/>
    <n v="0.02"/>
    <s v="over budget"/>
  </r>
  <r>
    <d v="2026-01-21T00:00:00"/>
    <x v="0"/>
    <x v="4"/>
    <x v="4"/>
    <n v="42000"/>
    <n v="40500"/>
    <n v="-1500"/>
    <n v="-3.5714285714285712E-2"/>
    <s v="under budget"/>
  </r>
  <r>
    <d v="2026-01-22T00:00:00"/>
    <x v="0"/>
    <x v="4"/>
    <x v="2"/>
    <n v="8500"/>
    <n v="9200"/>
    <n v="700"/>
    <n v="8.2352941176470587E-2"/>
    <s v="over budget"/>
  </r>
  <r>
    <d v="2026-01-22T00:00:00"/>
    <x v="0"/>
    <x v="4"/>
    <x v="1"/>
    <n v="15000"/>
    <n v="14700"/>
    <n v="-300"/>
    <n v="-0.02"/>
    <s v="under budget"/>
  </r>
  <r>
    <d v="2026-01-23T00:00:00"/>
    <x v="0"/>
    <x v="5"/>
    <x v="0"/>
    <n v="95000"/>
    <n v="93200"/>
    <n v="-1800"/>
    <n v="-1.8947368421052633E-2"/>
    <s v="under budget"/>
  </r>
  <r>
    <d v="2026-01-23T00:00:00"/>
    <x v="0"/>
    <x v="5"/>
    <x v="4"/>
    <n v="28000"/>
    <n v="30100"/>
    <n v="2100"/>
    <n v="7.4999999999999997E-2"/>
    <s v="over budget"/>
  </r>
  <r>
    <d v="2026-01-24T00:00:00"/>
    <x v="0"/>
    <x v="5"/>
    <x v="5"/>
    <n v="9000"/>
    <n v="8100"/>
    <n v="-900"/>
    <n v="-0.1"/>
    <s v="under budget"/>
  </r>
  <r>
    <d v="2026-01-24T00:00:00"/>
    <x v="0"/>
    <x v="5"/>
    <x v="3"/>
    <n v="5000"/>
    <n v="4700"/>
    <n v="-300"/>
    <n v="-0.06"/>
    <s v="under budget"/>
  </r>
  <r>
    <d v="2026-01-25T00:00:00"/>
    <x v="0"/>
    <x v="1"/>
    <x v="0"/>
    <n v="68000"/>
    <n v="69200"/>
    <n v="1200"/>
    <n v="1.7647058823529412E-2"/>
    <s v="over budget"/>
  </r>
  <r>
    <d v="2026-01-25T00:00:00"/>
    <x v="0"/>
    <x v="1"/>
    <x v="6"/>
    <n v="16000"/>
    <n v="17500"/>
    <n v="1500"/>
    <n v="9.375E-2"/>
    <s v="over budget"/>
  </r>
  <r>
    <d v="2026-01-25T00:00:00"/>
    <x v="0"/>
    <x v="1"/>
    <x v="1"/>
    <n v="9000"/>
    <n v="8700"/>
    <n v="-300"/>
    <n v="-3.3333333333333333E-2"/>
    <s v="under budget"/>
  </r>
  <r>
    <d v="2026-01-26T00:00:00"/>
    <x v="0"/>
    <x v="6"/>
    <x v="0"/>
    <n v="52000"/>
    <n v="52800"/>
    <n v="800"/>
    <n v="1.5384615384615385E-2"/>
    <s v="over budget"/>
  </r>
  <r>
    <d v="2026-01-26T00:00:00"/>
    <x v="0"/>
    <x v="6"/>
    <x v="7"/>
    <n v="3000"/>
    <n v="2600"/>
    <n v="-400"/>
    <n v="-0.13333333333333333"/>
    <s v="under budget"/>
  </r>
  <r>
    <d v="2026-01-26T00:00:00"/>
    <x v="0"/>
    <x v="6"/>
    <x v="6"/>
    <n v="14000"/>
    <n v="13200"/>
    <n v="-800"/>
    <n v="-5.7142857142857141E-2"/>
    <s v="under budget"/>
  </r>
  <r>
    <d v="2026-01-27T00:00:00"/>
    <x v="0"/>
    <x v="7"/>
    <x v="0"/>
    <n v="61000"/>
    <n v="60500"/>
    <n v="-500"/>
    <n v="-8.1967213114754103E-3"/>
    <s v="under budget"/>
  </r>
  <r>
    <d v="2026-01-27T00:00:00"/>
    <x v="0"/>
    <x v="7"/>
    <x v="3"/>
    <n v="4500"/>
    <n v="5100"/>
    <n v="600"/>
    <n v="0.13333333333333333"/>
    <s v="over budget"/>
  </r>
  <r>
    <d v="2026-01-27T00:00:00"/>
    <x v="0"/>
    <x v="7"/>
    <x v="1"/>
    <n v="8000"/>
    <n v="7600"/>
    <n v="-400"/>
    <n v="-0.05"/>
    <s v="under budget"/>
  </r>
  <r>
    <d v="2026-01-28T00:00:00"/>
    <x v="0"/>
    <x v="3"/>
    <x v="0"/>
    <n v="108000"/>
    <n v="110500"/>
    <n v="2500"/>
    <n v="2.3148148148148147E-2"/>
    <s v="over budget"/>
  </r>
  <r>
    <d v="2026-01-28T00:00:00"/>
    <x v="0"/>
    <x v="3"/>
    <x v="1"/>
    <n v="22000"/>
    <n v="23500"/>
    <n v="1500"/>
    <n v="6.8181818181818177E-2"/>
    <s v="over budget"/>
  </r>
  <r>
    <d v="2026-01-28T00:00:00"/>
    <x v="0"/>
    <x v="3"/>
    <x v="3"/>
    <n v="6500"/>
    <n v="6100"/>
    <n v="-400"/>
    <n v="-6.1538461538461542E-2"/>
    <s v="under budget"/>
  </r>
  <r>
    <d v="2026-01-29T00:00:00"/>
    <x v="0"/>
    <x v="8"/>
    <x v="0"/>
    <n v="59000"/>
    <n v="58400"/>
    <n v="-600"/>
    <n v="-1.0169491525423728E-2"/>
    <s v="under budget"/>
  </r>
  <r>
    <d v="2026-01-29T00:00:00"/>
    <x v="0"/>
    <x v="8"/>
    <x v="6"/>
    <n v="12500"/>
    <n v="13000"/>
    <n v="500"/>
    <n v="0.04"/>
    <s v="over budget"/>
  </r>
  <r>
    <d v="2026-01-29T00:00:00"/>
    <x v="0"/>
    <x v="8"/>
    <x v="7"/>
    <n v="2500"/>
    <n v="2200"/>
    <n v="-300"/>
    <n v="-0.12"/>
    <s v="under budget"/>
  </r>
  <r>
    <d v="2026-01-30T00:00:00"/>
    <x v="0"/>
    <x v="2"/>
    <x v="0"/>
    <n v="73000"/>
    <n v="72000"/>
    <n v="-1000"/>
    <n v="-1.3698630136986301E-2"/>
    <s v="under budget"/>
  </r>
  <r>
    <d v="2026-01-30T00:00:00"/>
    <x v="0"/>
    <x v="2"/>
    <x v="2"/>
    <n v="6000"/>
    <n v="6600"/>
    <n v="600"/>
    <n v="0.1"/>
    <s v="over budget"/>
  </r>
  <r>
    <d v="2026-01-30T00:00:00"/>
    <x v="0"/>
    <x v="2"/>
    <x v="5"/>
    <n v="5500"/>
    <n v="5000"/>
    <n v="-500"/>
    <n v="-9.0909090909090912E-2"/>
    <s v="under budget"/>
  </r>
  <r>
    <d v="2026-01-31T00:00:00"/>
    <x v="0"/>
    <x v="2"/>
    <x v="3"/>
    <n v="4800"/>
    <n v="4500"/>
    <n v="-300"/>
    <n v="-6.25E-2"/>
    <s v="under budget"/>
  </r>
  <r>
    <d v="2026-01-31T00:00:00"/>
    <x v="0"/>
    <x v="6"/>
    <x v="5"/>
    <n v="6500"/>
    <n v="7100"/>
    <n v="600"/>
    <n v="9.2307692307692313E-2"/>
    <s v="over budget"/>
  </r>
  <r>
    <d v="2026-01-31T00:00:00"/>
    <x v="0"/>
    <x v="1"/>
    <x v="7"/>
    <n v="2200"/>
    <n v="2000"/>
    <n v="-200"/>
    <n v="-9.0909090909090912E-2"/>
    <s v="under budget"/>
  </r>
  <r>
    <d v="2026-01-31T00:00:00"/>
    <x v="0"/>
    <x v="3"/>
    <x v="5"/>
    <n v="7200"/>
    <n v="6900"/>
    <n v="-300"/>
    <n v="-4.1666666666666664E-2"/>
    <s v="under budget"/>
  </r>
  <r>
    <d v="2026-02-02T00:00:00"/>
    <x v="1"/>
    <x v="4"/>
    <x v="0"/>
    <n v="126000"/>
    <n v="125200"/>
    <n v="-800"/>
    <n v="-6.3492063492063492E-3"/>
    <s v="under budget"/>
  </r>
  <r>
    <d v="2026-02-03T00:00:00"/>
    <x v="1"/>
    <x v="4"/>
    <x v="4"/>
    <n v="40000"/>
    <n v="42100"/>
    <n v="2100"/>
    <n v="5.2499999999999998E-2"/>
    <s v="over budget"/>
  </r>
  <r>
    <d v="2026-02-03T00:00:00"/>
    <x v="1"/>
    <x v="4"/>
    <x v="1"/>
    <n v="15000"/>
    <n v="14600"/>
    <n v="-400"/>
    <n v="-2.6666666666666668E-2"/>
    <s v="under budget"/>
  </r>
  <r>
    <d v="2026-02-04T00:00:00"/>
    <x v="1"/>
    <x v="5"/>
    <x v="0"/>
    <n v="96000"/>
    <n v="97800"/>
    <n v="1800"/>
    <n v="1.8749999999999999E-2"/>
    <s v="over budget"/>
  </r>
  <r>
    <d v="2026-02-04T00:00:00"/>
    <x v="1"/>
    <x v="5"/>
    <x v="2"/>
    <n v="7000"/>
    <n v="6500"/>
    <n v="-500"/>
    <n v="-7.1428571428571425E-2"/>
    <s v="under budget"/>
  </r>
  <r>
    <d v="2026-02-05T00:00:00"/>
    <x v="1"/>
    <x v="5"/>
    <x v="5"/>
    <n v="8500"/>
    <n v="9000"/>
    <n v="500"/>
    <n v="5.8823529411764705E-2"/>
    <s v="over budget"/>
  </r>
  <r>
    <d v="2026-02-05T00:00:00"/>
    <x v="1"/>
    <x v="1"/>
    <x v="0"/>
    <n v="69000"/>
    <n v="68500"/>
    <n v="-500"/>
    <n v="-7.246376811594203E-3"/>
    <s v="under budget"/>
  </r>
  <r>
    <d v="2026-02-06T00:00:00"/>
    <x v="1"/>
    <x v="1"/>
    <x v="6"/>
    <n v="15500"/>
    <n v="16200"/>
    <n v="700"/>
    <n v="4.5161290322580643E-2"/>
    <s v="over budget"/>
  </r>
  <r>
    <d v="2026-02-06T00:00:00"/>
    <x v="1"/>
    <x v="1"/>
    <x v="7"/>
    <n v="2500"/>
    <n v="2200"/>
    <n v="-300"/>
    <n v="-0.12"/>
    <s v="under budget"/>
  </r>
  <r>
    <d v="2026-02-07T00:00:00"/>
    <x v="1"/>
    <x v="6"/>
    <x v="0"/>
    <n v="53000"/>
    <n v="53500"/>
    <n v="500"/>
    <n v="9.433962264150943E-3"/>
    <s v="over budget"/>
  </r>
  <r>
    <d v="2026-02-07T00:00:00"/>
    <x v="1"/>
    <x v="6"/>
    <x v="1"/>
    <n v="9200"/>
    <n v="8800"/>
    <n v="-400"/>
    <n v="-4.3478260869565216E-2"/>
    <s v="under budget"/>
  </r>
  <r>
    <d v="2026-02-08T00:00:00"/>
    <x v="1"/>
    <x v="6"/>
    <x v="3"/>
    <n v="4200"/>
    <n v="4700"/>
    <n v="500"/>
    <n v="0.11904761904761904"/>
    <s v="over budget"/>
  </r>
  <r>
    <d v="2026-02-09T00:00:00"/>
    <x v="1"/>
    <x v="7"/>
    <x v="0"/>
    <n v="62000"/>
    <n v="61500"/>
    <n v="-500"/>
    <n v="-8.0645161290322578E-3"/>
    <s v="under budget"/>
  </r>
  <r>
    <d v="2026-02-09T00:00:00"/>
    <x v="1"/>
    <x v="7"/>
    <x v="1"/>
    <n v="8100"/>
    <n v="7900"/>
    <n v="-200"/>
    <n v="-2.4691358024691357E-2"/>
    <s v="under budget"/>
  </r>
  <r>
    <d v="2026-02-10T00:00:00"/>
    <x v="1"/>
    <x v="3"/>
    <x v="0"/>
    <n v="109000"/>
    <n v="111500"/>
    <n v="2500"/>
    <n v="2.2935779816513763E-2"/>
    <s v="over budget"/>
  </r>
  <r>
    <d v="2026-02-10T00:00:00"/>
    <x v="1"/>
    <x v="3"/>
    <x v="1"/>
    <n v="22500"/>
    <n v="21800"/>
    <n v="-700"/>
    <n v="-3.111111111111111E-2"/>
    <s v="under budget"/>
  </r>
  <r>
    <d v="2026-02-11T00:00:00"/>
    <x v="1"/>
    <x v="3"/>
    <x v="3"/>
    <n v="6200"/>
    <n v="6500"/>
    <n v="300"/>
    <n v="4.8387096774193547E-2"/>
    <s v="over budget"/>
  </r>
  <r>
    <d v="2026-02-12T00:00:00"/>
    <x v="1"/>
    <x v="8"/>
    <x v="0"/>
    <n v="60000"/>
    <n v="59400"/>
    <n v="-600"/>
    <n v="-0.01"/>
    <s v="under budget"/>
  </r>
  <r>
    <d v="2026-02-12T00:00:00"/>
    <x v="1"/>
    <x v="8"/>
    <x v="6"/>
    <n v="12800"/>
    <n v="13100"/>
    <n v="300"/>
    <n v="2.34375E-2"/>
    <s v="over budget"/>
  </r>
  <r>
    <d v="2026-02-13T00:00:00"/>
    <x v="1"/>
    <x v="8"/>
    <x v="7"/>
    <n v="2400"/>
    <n v="2600"/>
    <n v="200"/>
    <n v="8.3333333333333329E-2"/>
    <s v="over budget"/>
  </r>
  <r>
    <d v="2026-02-14T00:00:00"/>
    <x v="1"/>
    <x v="2"/>
    <x v="0"/>
    <n v="74000"/>
    <n v="73800"/>
    <n v="-200"/>
    <n v="-2.7027027027027029E-3"/>
    <s v="under budget"/>
  </r>
  <r>
    <d v="2026-02-14T00:00:00"/>
    <x v="1"/>
    <x v="2"/>
    <x v="2"/>
    <n v="6200"/>
    <n v="6700"/>
    <n v="500"/>
    <n v="8.0645161290322578E-2"/>
    <s v="over budget"/>
  </r>
  <r>
    <d v="2026-02-15T00:00:00"/>
    <x v="1"/>
    <x v="2"/>
    <x v="5"/>
    <n v="5600"/>
    <n v="5300"/>
    <n v="-300"/>
    <n v="-5.3571428571428568E-2"/>
    <s v="under budget"/>
  </r>
  <r>
    <d v="2026-02-15T00:00:00"/>
    <x v="1"/>
    <x v="2"/>
    <x v="3"/>
    <n v="5000"/>
    <n v="4700"/>
    <n v="-300"/>
    <n v="-0.06"/>
    <s v="under budget"/>
  </r>
  <r>
    <d v="2026-02-16T00:00:00"/>
    <x v="1"/>
    <x v="6"/>
    <x v="5"/>
    <n v="6800"/>
    <n v="6400"/>
    <n v="-400"/>
    <n v="-5.8823529411764705E-2"/>
    <s v="under budget"/>
  </r>
  <r>
    <d v="2026-02-17T00:00:00"/>
    <x v="1"/>
    <x v="3"/>
    <x v="5"/>
    <n v="7500"/>
    <n v="7800"/>
    <n v="300"/>
    <n v="0.04"/>
    <s v="over budget"/>
  </r>
  <r>
    <d v="2026-02-18T00:00:00"/>
    <x v="1"/>
    <x v="1"/>
    <x v="1"/>
    <n v="9100"/>
    <n v="8900"/>
    <n v="-200"/>
    <n v="-2.197802197802198E-2"/>
    <s v="under budget"/>
  </r>
  <r>
    <d v="2026-02-19T00:00:00"/>
    <x v="1"/>
    <x v="4"/>
    <x v="2"/>
    <n v="9000"/>
    <n v="9400"/>
    <n v="400"/>
    <n v="4.4444444444444446E-2"/>
    <s v="over budget"/>
  </r>
  <r>
    <d v="2026-02-20T00:00:00"/>
    <x v="1"/>
    <x v="5"/>
    <x v="4"/>
    <n v="29500"/>
    <n v="28700"/>
    <n v="-800"/>
    <n v="-2.7118644067796609E-2"/>
    <s v="under budget"/>
  </r>
  <r>
    <d v="2026-02-21T00:00:00"/>
    <x v="1"/>
    <x v="7"/>
    <x v="3"/>
    <n v="4700"/>
    <n v="4500"/>
    <n v="-200"/>
    <n v="-4.2553191489361701E-2"/>
    <s v="under budget"/>
  </r>
  <r>
    <d v="2026-03-02T00:00:00"/>
    <x v="2"/>
    <x v="4"/>
    <x v="0"/>
    <n v="127000"/>
    <n v="126200"/>
    <n v="-800"/>
    <n v="-6.2992125984251968E-3"/>
    <s v="under budget"/>
  </r>
  <r>
    <d v="2026-03-02T00:00:00"/>
    <x v="2"/>
    <x v="4"/>
    <x v="4"/>
    <n v="41500"/>
    <n v="42800"/>
    <n v="1300"/>
    <n v="3.1325301204819279E-2"/>
    <s v="over budget"/>
  </r>
  <r>
    <d v="2026-03-03T00:00:00"/>
    <x v="2"/>
    <x v="4"/>
    <x v="2"/>
    <n v="9200"/>
    <n v="8900"/>
    <n v="-300"/>
    <n v="-3.2608695652173912E-2"/>
    <s v="under budget"/>
  </r>
  <r>
    <d v="2026-03-03T00:00:00"/>
    <x v="2"/>
    <x v="4"/>
    <x v="1"/>
    <n v="15200"/>
    <n v="14900"/>
    <n v="-300"/>
    <n v="-1.9736842105263157E-2"/>
    <s v="under budget"/>
  </r>
  <r>
    <d v="2026-03-04T00:00:00"/>
    <x v="2"/>
    <x v="5"/>
    <x v="0"/>
    <n v="97000"/>
    <n v="98400"/>
    <n v="1400"/>
    <n v="1.443298969072165E-2"/>
    <s v="over budget"/>
  </r>
  <r>
    <d v="2026-03-04T00:00:00"/>
    <x v="2"/>
    <x v="5"/>
    <x v="4"/>
    <n v="30000"/>
    <n v="29200"/>
    <n v="-800"/>
    <n v="-2.6666666666666668E-2"/>
    <s v="under budget"/>
  </r>
  <r>
    <d v="2026-03-05T00:00:00"/>
    <x v="2"/>
    <x v="5"/>
    <x v="5"/>
    <n v="9000"/>
    <n v="9300"/>
    <n v="300"/>
    <n v="3.3333333333333333E-2"/>
    <s v="over budget"/>
  </r>
  <r>
    <d v="2026-03-05T00:00:00"/>
    <x v="2"/>
    <x v="1"/>
    <x v="0"/>
    <n v="70000"/>
    <n v="69500"/>
    <n v="-500"/>
    <n v="-7.1428571428571426E-3"/>
    <s v="under budget"/>
  </r>
  <r>
    <d v="2026-03-06T00:00:00"/>
    <x v="2"/>
    <x v="1"/>
    <x v="6"/>
    <n v="16000"/>
    <n v="17100"/>
    <n v="1100"/>
    <n v="6.8750000000000006E-2"/>
    <s v="over budget"/>
  </r>
  <r>
    <d v="2026-03-06T00:00:00"/>
    <x v="2"/>
    <x v="1"/>
    <x v="1"/>
    <n v="9300"/>
    <n v="8900"/>
    <n v="-400"/>
    <n v="-4.3010752688172046E-2"/>
    <s v="under budget"/>
  </r>
  <r>
    <d v="2026-03-07T00:00:00"/>
    <x v="2"/>
    <x v="6"/>
    <x v="0"/>
    <n v="54000"/>
    <n v="54700"/>
    <n v="700"/>
    <n v="1.2962962962962963E-2"/>
    <s v="over budget"/>
  </r>
  <r>
    <d v="2026-03-07T00:00:00"/>
    <x v="2"/>
    <x v="6"/>
    <x v="7"/>
    <n v="2800"/>
    <n v="2600"/>
    <n v="-200"/>
    <n v="-7.1428571428571425E-2"/>
    <s v="under budget"/>
  </r>
  <r>
    <d v="2026-03-08T00:00:00"/>
    <x v="2"/>
    <x v="6"/>
    <x v="5"/>
    <n v="6900"/>
    <n v="7200"/>
    <n v="300"/>
    <n v="4.3478260869565216E-2"/>
    <s v="over budget"/>
  </r>
  <r>
    <d v="2026-03-08T00:00:00"/>
    <x v="2"/>
    <x v="7"/>
    <x v="0"/>
    <n v="62500"/>
    <n v="62000"/>
    <n v="-500"/>
    <n v="-8.0000000000000002E-3"/>
    <s v="under budget"/>
  </r>
  <r>
    <d v="2026-03-09T00:00:00"/>
    <x v="2"/>
    <x v="7"/>
    <x v="3"/>
    <n v="4800"/>
    <n v="5100"/>
    <n v="300"/>
    <n v="6.25E-2"/>
    <s v="over budget"/>
  </r>
  <r>
    <d v="2026-03-09T00:00:00"/>
    <x v="2"/>
    <x v="7"/>
    <x v="1"/>
    <n v="8300"/>
    <n v="8100"/>
    <n v="-200"/>
    <n v="-2.4096385542168676E-2"/>
    <s v="under budget"/>
  </r>
  <r>
    <d v="2026-03-10T00:00:00"/>
    <x v="2"/>
    <x v="3"/>
    <x v="0"/>
    <n v="110000"/>
    <n v="112300"/>
    <n v="2300"/>
    <n v="2.0909090909090908E-2"/>
    <s v="over budget"/>
  </r>
  <r>
    <d v="2026-03-10T00:00:00"/>
    <x v="2"/>
    <x v="3"/>
    <x v="1"/>
    <n v="23000"/>
    <n v="22600"/>
    <n v="-400"/>
    <n v="-1.7391304347826087E-2"/>
    <s v="under budget"/>
  </r>
  <r>
    <d v="2026-03-11T00:00:00"/>
    <x v="2"/>
    <x v="3"/>
    <x v="3"/>
    <n v="6400"/>
    <n v="6600"/>
    <n v="200"/>
    <n v="3.125E-2"/>
    <s v="over budget"/>
  </r>
  <r>
    <d v="2026-03-11T00:00:00"/>
    <x v="2"/>
    <x v="8"/>
    <x v="0"/>
    <n v="60500"/>
    <n v="59900"/>
    <n v="-600"/>
    <n v="-9.9173553719008271E-3"/>
    <s v="under budget"/>
  </r>
  <r>
    <d v="2026-03-12T00:00:00"/>
    <x v="2"/>
    <x v="8"/>
    <x v="6"/>
    <n v="13000"/>
    <n v="13300"/>
    <n v="300"/>
    <n v="2.3076923076923078E-2"/>
    <s v="over budget"/>
  </r>
  <r>
    <d v="2026-03-12T00:00:00"/>
    <x v="2"/>
    <x v="8"/>
    <x v="7"/>
    <n v="2500"/>
    <n v="2300"/>
    <n v="-200"/>
    <n v="-0.08"/>
    <s v="under budget"/>
  </r>
  <r>
    <d v="2026-03-13T00:00:00"/>
    <x v="2"/>
    <x v="2"/>
    <x v="0"/>
    <n v="74500"/>
    <n v="74100"/>
    <n v="-400"/>
    <n v="-5.3691275167785232E-3"/>
    <s v="under budget"/>
  </r>
  <r>
    <d v="2026-03-13T00:00:00"/>
    <x v="2"/>
    <x v="2"/>
    <x v="2"/>
    <n v="6500"/>
    <n v="6900"/>
    <n v="400"/>
    <n v="6.1538461538461542E-2"/>
    <s v="over budget"/>
  </r>
  <r>
    <d v="2026-03-14T00:00:00"/>
    <x v="2"/>
    <x v="2"/>
    <x v="5"/>
    <n v="5800"/>
    <n v="5600"/>
    <n v="-200"/>
    <n v="-3.4482758620689655E-2"/>
    <s v="under budget"/>
  </r>
  <r>
    <d v="2026-03-14T00:00:00"/>
    <x v="2"/>
    <x v="2"/>
    <x v="3"/>
    <n v="5100"/>
    <n v="4800"/>
    <n v="-300"/>
    <n v="-5.8823529411764705E-2"/>
    <s v="under budget"/>
  </r>
  <r>
    <d v="2026-03-15T00:00:00"/>
    <x v="2"/>
    <x v="6"/>
    <x v="6"/>
    <n v="14500"/>
    <n v="15000"/>
    <n v="500"/>
    <n v="3.4482758620689655E-2"/>
    <s v="over budget"/>
  </r>
  <r>
    <d v="2026-03-16T00:00:00"/>
    <x v="2"/>
    <x v="1"/>
    <x v="7"/>
    <n v="2400"/>
    <n v="2200"/>
    <n v="-200"/>
    <n v="-8.3333333333333329E-2"/>
    <s v="under budget"/>
  </r>
  <r>
    <d v="2026-03-17T00:00:00"/>
    <x v="2"/>
    <x v="3"/>
    <x v="5"/>
    <n v="7600"/>
    <n v="7900"/>
    <n v="300"/>
    <n v="3.9473684210526314E-2"/>
    <s v="over budget"/>
  </r>
  <r>
    <d v="2026-03-18T00:00:00"/>
    <x v="2"/>
    <x v="5"/>
    <x v="2"/>
    <n v="7200"/>
    <n v="7000"/>
    <n v="-200"/>
    <n v="-2.7777777777777776E-2"/>
    <s v="under budget"/>
  </r>
  <r>
    <d v="2026-04-01T00:00:00"/>
    <x v="3"/>
    <x v="2"/>
    <x v="7"/>
    <n v="4489"/>
    <n v="4680.0200000000004"/>
    <n v="191.02000000000044"/>
    <n v="4.2552907106259842E-2"/>
    <s v="over budget"/>
  </r>
  <r>
    <d v="2026-04-02T00:00:00"/>
    <x v="3"/>
    <x v="3"/>
    <x v="2"/>
    <n v="3171"/>
    <n v="3212.34"/>
    <n v="41.340000000000146"/>
    <n v="1.3036896877956526E-2"/>
    <s v="over budget"/>
  </r>
  <r>
    <d v="2026-04-03T00:00:00"/>
    <x v="3"/>
    <x v="1"/>
    <x v="7"/>
    <n v="5762"/>
    <n v="5790.51"/>
    <n v="28.510000000000218"/>
    <n v="4.9479347448802878E-3"/>
    <s v="over budget"/>
  </r>
  <r>
    <d v="2026-04-04T00:00:00"/>
    <x v="3"/>
    <x v="8"/>
    <x v="1"/>
    <n v="8495"/>
    <n v="9279.01"/>
    <n v="784.01000000000022"/>
    <n v="9.2290759270158937E-2"/>
    <s v="over budget"/>
  </r>
  <r>
    <d v="2026-04-05T00:00:00"/>
    <x v="3"/>
    <x v="8"/>
    <x v="7"/>
    <n v="2373"/>
    <n v="2613.34"/>
    <n v="240.34000000000015"/>
    <n v="0.10128107880320276"/>
    <s v="over budget"/>
  </r>
  <r>
    <d v="2026-04-06T00:00:00"/>
    <x v="3"/>
    <x v="2"/>
    <x v="5"/>
    <n v="5219"/>
    <n v="4769.05"/>
    <n v="-449.94999999999982"/>
    <n v="-8.6213834067829051E-2"/>
    <s v="under budget"/>
  </r>
  <r>
    <d v="2026-04-07T00:00:00"/>
    <x v="3"/>
    <x v="3"/>
    <x v="4"/>
    <n v="21908"/>
    <n v="23532.27"/>
    <n v="1624.2700000000004"/>
    <n v="7.4140496622238469E-2"/>
    <s v="over budget"/>
  </r>
  <r>
    <d v="2026-04-08T00:00:00"/>
    <x v="3"/>
    <x v="8"/>
    <x v="4"/>
    <n v="33375"/>
    <n v="35053.07"/>
    <n v="1678.0699999999997"/>
    <n v="5.0279250936329581E-2"/>
    <s v="over budget"/>
  </r>
  <r>
    <d v="2026-04-09T00:00:00"/>
    <x v="3"/>
    <x v="3"/>
    <x v="1"/>
    <n v="21860"/>
    <n v="22295.69"/>
    <n v="435.68999999999869"/>
    <n v="1.9930924062214028E-2"/>
    <s v="over budget"/>
  </r>
  <r>
    <d v="2026-04-10T00:00:00"/>
    <x v="3"/>
    <x v="5"/>
    <x v="1"/>
    <n v="11828"/>
    <n v="12586.86"/>
    <n v="758.86000000000058"/>
    <n v="6.4157930334798829E-2"/>
    <s v="over budget"/>
  </r>
  <r>
    <d v="2026-04-11T00:00:00"/>
    <x v="3"/>
    <x v="4"/>
    <x v="1"/>
    <n v="16050"/>
    <n v="15808.95"/>
    <n v="-241.04999999999927"/>
    <n v="-1.5018691588785001E-2"/>
    <s v="under budget"/>
  </r>
  <r>
    <d v="2026-04-12T00:00:00"/>
    <x v="3"/>
    <x v="1"/>
    <x v="0"/>
    <n v="93160"/>
    <n v="98569.77"/>
    <n v="5409.7700000000041"/>
    <n v="5.8069665092314343E-2"/>
    <s v="over budget"/>
  </r>
  <r>
    <d v="2026-04-13T00:00:00"/>
    <x v="3"/>
    <x v="5"/>
    <x v="4"/>
    <n v="37248"/>
    <n v="36030.6"/>
    <n v="-1217.4000000000015"/>
    <n v="-3.2683634020618593E-2"/>
    <s v="under budget"/>
  </r>
  <r>
    <d v="2026-04-14T00:00:00"/>
    <x v="3"/>
    <x v="5"/>
    <x v="3"/>
    <n v="5730"/>
    <n v="5519.34"/>
    <n v="-210.65999999999985"/>
    <n v="-3.6764397905759139E-2"/>
    <s v="under budget"/>
  </r>
  <r>
    <d v="2026-04-15T00:00:00"/>
    <x v="3"/>
    <x v="5"/>
    <x v="4"/>
    <n v="31705"/>
    <n v="29550.2"/>
    <n v="-2154.7999999999993"/>
    <n v="-6.7964043526257664E-2"/>
    <s v="under budget"/>
  </r>
  <r>
    <d v="2026-04-16T00:00:00"/>
    <x v="3"/>
    <x v="6"/>
    <x v="7"/>
    <n v="9258"/>
    <n v="9509.19"/>
    <n v="251.19000000000051"/>
    <n v="2.713220998055741E-2"/>
    <s v="over budget"/>
  </r>
  <r>
    <d v="2026-04-17T00:00:00"/>
    <x v="3"/>
    <x v="6"/>
    <x v="2"/>
    <n v="8689"/>
    <n v="9402.56"/>
    <n v="713.55999999999949"/>
    <n v="8.2122223500978184E-2"/>
    <s v="over budget"/>
  </r>
  <r>
    <d v="2026-04-18T00:00:00"/>
    <x v="3"/>
    <x v="2"/>
    <x v="6"/>
    <n v="17984"/>
    <n v="20076.14"/>
    <n v="2092.1399999999994"/>
    <n v="0.11633340747330957"/>
    <s v="over budget"/>
  </r>
  <r>
    <d v="2026-04-19T00:00:00"/>
    <x v="3"/>
    <x v="6"/>
    <x v="1"/>
    <n v="21313"/>
    <n v="20537.34"/>
    <n v="-775.65999999999985"/>
    <n v="-3.6393750293248248E-2"/>
    <s v="under budget"/>
  </r>
  <r>
    <d v="2026-04-20T00:00:00"/>
    <x v="3"/>
    <x v="7"/>
    <x v="2"/>
    <n v="9585"/>
    <n v="10049.01"/>
    <n v="464.01000000000022"/>
    <n v="4.8410015649452291E-2"/>
    <s v="over budget"/>
  </r>
  <r>
    <d v="2026-04-21T00:00:00"/>
    <x v="3"/>
    <x v="4"/>
    <x v="5"/>
    <n v="6223"/>
    <n v="6244.12"/>
    <n v="21.119999999999891"/>
    <n v="3.3938614816004966E-3"/>
    <s v="over budget"/>
  </r>
  <r>
    <d v="2026-04-22T00:00:00"/>
    <x v="3"/>
    <x v="6"/>
    <x v="6"/>
    <n v="10866"/>
    <n v="11878.3"/>
    <n v="1012.2999999999993"/>
    <n v="9.3162157187557451E-2"/>
    <s v="over budget"/>
  </r>
  <r>
    <d v="2026-04-23T00:00:00"/>
    <x v="3"/>
    <x v="7"/>
    <x v="0"/>
    <n v="61120"/>
    <n v="66404.88"/>
    <n v="5284.8800000000047"/>
    <n v="8.6467277486911076E-2"/>
    <s v="over budget"/>
  </r>
  <r>
    <d v="2026-04-24T00:00:00"/>
    <x v="3"/>
    <x v="7"/>
    <x v="5"/>
    <n v="3228"/>
    <n v="3357.86"/>
    <n v="129.86000000000013"/>
    <n v="4.022924411400252E-2"/>
    <s v="over budget"/>
  </r>
  <r>
    <d v="2026-04-25T00:00:00"/>
    <x v="3"/>
    <x v="8"/>
    <x v="7"/>
    <n v="7849"/>
    <n v="7072.56"/>
    <n v="-776.4399999999996"/>
    <n v="-9.8922155688622698E-2"/>
    <s v="under budget"/>
  </r>
  <r>
    <d v="2026-04-26T00:00:00"/>
    <x v="3"/>
    <x v="1"/>
    <x v="1"/>
    <n v="12924"/>
    <n v="12623.23"/>
    <n v="-300.77000000000044"/>
    <n v="-2.3272206747137144E-2"/>
    <s v="under budget"/>
  </r>
  <r>
    <d v="2026-04-27T00:00:00"/>
    <x v="3"/>
    <x v="1"/>
    <x v="7"/>
    <n v="9235"/>
    <n v="9094.08"/>
    <n v="-140.92000000000007"/>
    <n v="-1.5259339469409862E-2"/>
    <s v="under budget"/>
  </r>
  <r>
    <d v="2026-04-28T00:00:00"/>
    <x v="3"/>
    <x v="3"/>
    <x v="1"/>
    <n v="11046"/>
    <n v="10640.72"/>
    <n v="-405.28000000000065"/>
    <n v="-3.6690204598949908E-2"/>
    <s v="under budget"/>
  </r>
  <r>
    <d v="2026-04-29T00:00:00"/>
    <x v="3"/>
    <x v="5"/>
    <x v="7"/>
    <n v="7264"/>
    <n v="7711.86"/>
    <n v="447.85999999999967"/>
    <n v="6.1654735682819338E-2"/>
    <s v="over budget"/>
  </r>
  <r>
    <d v="2026-04-30T00:00:00"/>
    <x v="3"/>
    <x v="6"/>
    <x v="0"/>
    <n v="120716"/>
    <n v="131094.45000000001"/>
    <n v="10378.450000000012"/>
    <n v="8.5974104509758537E-2"/>
    <s v="over budget"/>
  </r>
  <r>
    <d v="2026-05-01T00:00:00"/>
    <x v="4"/>
    <x v="1"/>
    <x v="3"/>
    <n v="5326"/>
    <n v="5068.63"/>
    <n v="-257.36999999999989"/>
    <n v="-4.8323319564401029E-2"/>
    <s v="under budget"/>
  </r>
  <r>
    <d v="2026-05-02T00:00:00"/>
    <x v="4"/>
    <x v="8"/>
    <x v="5"/>
    <n v="2103"/>
    <n v="2027.92"/>
    <n v="-75.079999999999927"/>
    <n v="-3.5701378982406051E-2"/>
    <s v="under budget"/>
  </r>
  <r>
    <d v="2026-05-03T00:00:00"/>
    <x v="4"/>
    <x v="5"/>
    <x v="3"/>
    <n v="4109"/>
    <n v="4372.93"/>
    <n v="263.93000000000029"/>
    <n v="6.4232173278169935E-2"/>
    <s v="over budget"/>
  </r>
  <r>
    <d v="2026-05-04T00:00:00"/>
    <x v="4"/>
    <x v="4"/>
    <x v="6"/>
    <n v="9617"/>
    <n v="10023.06"/>
    <n v="406.05999999999949"/>
    <n v="4.2223146511386034E-2"/>
    <s v="over budget"/>
  </r>
  <r>
    <d v="2026-05-05T00:00:00"/>
    <x v="4"/>
    <x v="2"/>
    <x v="4"/>
    <n v="22169"/>
    <n v="22396.16"/>
    <n v="227.15999999999985"/>
    <n v="1.0246740944562221E-2"/>
    <s v="over budget"/>
  </r>
  <r>
    <d v="2026-05-06T00:00:00"/>
    <x v="4"/>
    <x v="3"/>
    <x v="4"/>
    <n v="21796"/>
    <n v="19619.37"/>
    <n v="-2176.630000000001"/>
    <n v="-9.9863736465406541E-2"/>
    <s v="under budget"/>
  </r>
  <r>
    <d v="2026-05-07T00:00:00"/>
    <x v="4"/>
    <x v="7"/>
    <x v="7"/>
    <n v="6931"/>
    <n v="6609.76"/>
    <n v="-321.23999999999978"/>
    <n v="-4.6348290290001412E-2"/>
    <s v="under budget"/>
  </r>
  <r>
    <d v="2026-05-08T00:00:00"/>
    <x v="4"/>
    <x v="7"/>
    <x v="7"/>
    <n v="9189"/>
    <n v="8407.6"/>
    <n v="-781.39999999999964"/>
    <n v="-8.5036456632930635E-2"/>
    <s v="under budget"/>
  </r>
  <r>
    <d v="2026-05-09T00:00:00"/>
    <x v="4"/>
    <x v="4"/>
    <x v="7"/>
    <n v="7937"/>
    <n v="7611.27"/>
    <n v="-325.72999999999956"/>
    <n v="-4.1039435554995535E-2"/>
    <s v="under budget"/>
  </r>
  <r>
    <d v="2026-05-10T00:00:00"/>
    <x v="4"/>
    <x v="5"/>
    <x v="5"/>
    <n v="7027"/>
    <n v="7184.41"/>
    <n v="157.40999999999985"/>
    <n v="2.2400740002846146E-2"/>
    <s v="over budget"/>
  </r>
  <r>
    <d v="2026-05-11T00:00:00"/>
    <x v="4"/>
    <x v="2"/>
    <x v="4"/>
    <n v="23756"/>
    <n v="26531.29"/>
    <n v="2775.2900000000009"/>
    <n v="0.11682480215524503"/>
    <s v="over budget"/>
  </r>
  <r>
    <d v="2026-05-12T00:00:00"/>
    <x v="4"/>
    <x v="8"/>
    <x v="5"/>
    <n v="4092"/>
    <n v="4116.0200000000004"/>
    <n v="24.020000000000437"/>
    <n v="5.8699902248290411E-3"/>
    <s v="over budget"/>
  </r>
  <r>
    <d v="2026-05-13T00:00:00"/>
    <x v="4"/>
    <x v="8"/>
    <x v="2"/>
    <n v="3340"/>
    <n v="3301.15"/>
    <n v="-38.849999999999909"/>
    <n v="-1.1631736526946081E-2"/>
    <s v="under budget"/>
  </r>
  <r>
    <d v="2026-05-14T00:00:00"/>
    <x v="4"/>
    <x v="8"/>
    <x v="4"/>
    <n v="42372"/>
    <n v="40740.6"/>
    <n v="-1631.4000000000015"/>
    <n v="-3.8501840838289468E-2"/>
    <s v="under budget"/>
  </r>
  <r>
    <d v="2026-05-15T00:00:00"/>
    <x v="4"/>
    <x v="8"/>
    <x v="7"/>
    <n v="4437"/>
    <n v="4219.38"/>
    <n v="-217.61999999999989"/>
    <n v="-4.9046653144016204E-2"/>
    <s v="under budget"/>
  </r>
  <r>
    <d v="2026-05-16T00:00:00"/>
    <x v="4"/>
    <x v="4"/>
    <x v="1"/>
    <n v="18435"/>
    <n v="19378.95"/>
    <n v="943.95000000000073"/>
    <n v="5.1204231082180675E-2"/>
    <s v="over budget"/>
  </r>
  <r>
    <d v="2026-05-17T00:00:00"/>
    <x v="4"/>
    <x v="2"/>
    <x v="6"/>
    <n v="9886"/>
    <n v="10897.84"/>
    <n v="1011.8400000000001"/>
    <n v="0.10235079910985233"/>
    <s v="over budget"/>
  </r>
  <r>
    <d v="2026-05-18T00:00:00"/>
    <x v="4"/>
    <x v="5"/>
    <x v="4"/>
    <n v="35129"/>
    <n v="37525.089999999997"/>
    <n v="2396.0899999999965"/>
    <n v="6.8208317913974109E-2"/>
    <s v="over budget"/>
  </r>
  <r>
    <d v="2026-05-19T00:00:00"/>
    <x v="4"/>
    <x v="3"/>
    <x v="3"/>
    <n v="9646"/>
    <n v="10233.14"/>
    <n v="587.13999999999942"/>
    <n v="6.0868753887621752E-2"/>
    <s v="over budget"/>
  </r>
  <r>
    <d v="2026-05-20T00:00:00"/>
    <x v="4"/>
    <x v="3"/>
    <x v="6"/>
    <n v="21201"/>
    <n v="22826.67"/>
    <n v="1625.6699999999983"/>
    <n v="7.6678930239139576E-2"/>
    <s v="over budget"/>
  </r>
  <r>
    <d v="2026-05-21T00:00:00"/>
    <x v="4"/>
    <x v="8"/>
    <x v="4"/>
    <n v="27125"/>
    <n v="27078.21"/>
    <n v="-46.790000000000873"/>
    <n v="-1.7249769585253778E-3"/>
    <s v="under budget"/>
  </r>
  <r>
    <d v="2026-05-22T00:00:00"/>
    <x v="4"/>
    <x v="6"/>
    <x v="5"/>
    <n v="7732"/>
    <n v="7926.01"/>
    <n v="194.01000000000022"/>
    <n v="2.5091826176927085E-2"/>
    <s v="over budget"/>
  </r>
  <r>
    <d v="2026-05-23T00:00:00"/>
    <x v="4"/>
    <x v="6"/>
    <x v="6"/>
    <n v="9884"/>
    <n v="10848.34"/>
    <n v="964.34000000000015"/>
    <n v="9.7565762849048984E-2"/>
    <s v="over budget"/>
  </r>
  <r>
    <d v="2026-05-24T00:00:00"/>
    <x v="4"/>
    <x v="3"/>
    <x v="2"/>
    <n v="2273"/>
    <n v="2294.4499999999998"/>
    <n v="21.449999999999818"/>
    <n v="9.4368675758908123E-3"/>
    <s v="over budget"/>
  </r>
  <r>
    <d v="2026-05-25T00:00:00"/>
    <x v="4"/>
    <x v="6"/>
    <x v="0"/>
    <n v="77246"/>
    <n v="79660.19"/>
    <n v="2414.1900000000023"/>
    <n v="3.1253268777671366E-2"/>
    <s v="over budget"/>
  </r>
  <r>
    <d v="2026-05-26T00:00:00"/>
    <x v="4"/>
    <x v="2"/>
    <x v="0"/>
    <n v="53899"/>
    <n v="53218.35"/>
    <n v="-680.65000000000146"/>
    <n v="-1.2628249132636996E-2"/>
    <s v="under budget"/>
  </r>
  <r>
    <d v="2026-05-27T00:00:00"/>
    <x v="4"/>
    <x v="7"/>
    <x v="7"/>
    <n v="3827"/>
    <n v="3887.07"/>
    <n v="60.070000000000164"/>
    <n v="1.5696367912202813E-2"/>
    <s v="over budget"/>
  </r>
  <r>
    <d v="2026-05-28T00:00:00"/>
    <x v="4"/>
    <x v="7"/>
    <x v="1"/>
    <n v="18235"/>
    <n v="16648.59"/>
    <n v="-1586.4099999999999"/>
    <n v="-8.6998080614203444E-2"/>
    <s v="under budget"/>
  </r>
  <r>
    <d v="2026-05-29T00:00:00"/>
    <x v="4"/>
    <x v="8"/>
    <x v="6"/>
    <n v="12530"/>
    <n v="12385.08"/>
    <n v="-144.92000000000007"/>
    <n v="-1.1565841979249807E-2"/>
    <s v="under budget"/>
  </r>
  <r>
    <d v="2026-05-30T00:00:00"/>
    <x v="4"/>
    <x v="5"/>
    <x v="0"/>
    <n v="55053"/>
    <n v="53143.11"/>
    <n v="-1909.8899999999994"/>
    <n v="-3.4691842406408359E-2"/>
    <s v="under budget"/>
  </r>
  <r>
    <d v="2026-06-01T00:00:00"/>
    <x v="5"/>
    <x v="3"/>
    <x v="4"/>
    <n v="19573"/>
    <n v="19066.62"/>
    <n v="-506.38000000000102"/>
    <n v="-2.5871353394982935E-2"/>
    <s v="under budget"/>
  </r>
  <r>
    <d v="2026-06-02T00:00:00"/>
    <x v="5"/>
    <x v="6"/>
    <x v="4"/>
    <n v="20567"/>
    <n v="19497.849999999999"/>
    <n v="-1069.1500000000015"/>
    <n v="-5.198376039286242E-2"/>
    <s v="under budget"/>
  </r>
  <r>
    <d v="2026-06-03T00:00:00"/>
    <x v="5"/>
    <x v="1"/>
    <x v="2"/>
    <n v="7751"/>
    <n v="8109.29"/>
    <n v="358.28999999999996"/>
    <n v="4.622500322539027E-2"/>
    <s v="over budget"/>
  </r>
  <r>
    <d v="2026-06-04T00:00:00"/>
    <x v="5"/>
    <x v="5"/>
    <x v="7"/>
    <n v="5069"/>
    <n v="4818.6400000000003"/>
    <n v="-250.35999999999967"/>
    <n v="-4.9390412310120271E-2"/>
    <s v="under budget"/>
  </r>
  <r>
    <d v="2026-06-05T00:00:00"/>
    <x v="5"/>
    <x v="5"/>
    <x v="0"/>
    <n v="77718"/>
    <n v="79533.070000000007"/>
    <n v="1815.070000000007"/>
    <n v="2.3354563936282546E-2"/>
    <s v="over budget"/>
  </r>
  <r>
    <d v="2026-06-06T00:00:00"/>
    <x v="5"/>
    <x v="3"/>
    <x v="1"/>
    <n v="16908"/>
    <n v="16058.67"/>
    <n v="-849.32999999999993"/>
    <n v="-5.0232434350603261E-2"/>
    <s v="under budget"/>
  </r>
  <r>
    <d v="2026-06-07T00:00:00"/>
    <x v="5"/>
    <x v="2"/>
    <x v="1"/>
    <n v="13458"/>
    <n v="14771.06"/>
    <n v="1313.0599999999995"/>
    <n v="9.7567246247585046E-2"/>
    <s v="over budget"/>
  </r>
  <r>
    <d v="2026-06-08T00:00:00"/>
    <x v="5"/>
    <x v="7"/>
    <x v="6"/>
    <n v="19519"/>
    <n v="17945.07"/>
    <n v="-1573.9300000000003"/>
    <n v="-8.0635790767969687E-2"/>
    <s v="under budget"/>
  </r>
  <r>
    <d v="2026-06-09T00:00:00"/>
    <x v="5"/>
    <x v="7"/>
    <x v="3"/>
    <n v="2178"/>
    <n v="2019.25"/>
    <n v="-158.75"/>
    <n v="-7.2887970615243339E-2"/>
    <s v="under budget"/>
  </r>
  <r>
    <d v="2026-06-10T00:00:00"/>
    <x v="5"/>
    <x v="7"/>
    <x v="1"/>
    <n v="15472"/>
    <n v="16632.48"/>
    <n v="1160.4799999999996"/>
    <n v="7.5005170630816936E-2"/>
    <s v="over budget"/>
  </r>
  <r>
    <d v="2026-06-11T00:00:00"/>
    <x v="5"/>
    <x v="4"/>
    <x v="7"/>
    <n v="6424"/>
    <n v="6847.7"/>
    <n v="423.69999999999982"/>
    <n v="6.5955790784557877E-2"/>
    <s v="over budget"/>
  </r>
  <r>
    <d v="2026-06-12T00:00:00"/>
    <x v="5"/>
    <x v="4"/>
    <x v="5"/>
    <n v="3904"/>
    <n v="3700.89"/>
    <n v="-203.11000000000013"/>
    <n v="-5.202612704918036E-2"/>
    <s v="under budget"/>
  </r>
  <r>
    <d v="2026-06-13T00:00:00"/>
    <x v="5"/>
    <x v="6"/>
    <x v="5"/>
    <n v="4928"/>
    <n v="5156.16"/>
    <n v="228.15999999999985"/>
    <n v="4.629870129870127E-2"/>
    <s v="over budget"/>
  </r>
  <r>
    <d v="2026-06-14T00:00:00"/>
    <x v="5"/>
    <x v="5"/>
    <x v="4"/>
    <n v="35960"/>
    <n v="37320.93"/>
    <n v="1360.9300000000003"/>
    <n v="3.7845661846496112E-2"/>
    <s v="over budget"/>
  </r>
  <r>
    <d v="2026-06-15T00:00:00"/>
    <x v="5"/>
    <x v="6"/>
    <x v="2"/>
    <n v="6740"/>
    <n v="6768.94"/>
    <n v="28.9399999999996"/>
    <n v="4.293768545994006E-3"/>
    <s v="over budget"/>
  </r>
  <r>
    <d v="2026-06-16T00:00:00"/>
    <x v="5"/>
    <x v="1"/>
    <x v="6"/>
    <n v="13521"/>
    <n v="14032.76"/>
    <n v="511.76000000000022"/>
    <n v="3.784927150358703E-2"/>
    <s v="over budget"/>
  </r>
  <r>
    <d v="2026-06-17T00:00:00"/>
    <x v="5"/>
    <x v="1"/>
    <x v="3"/>
    <n v="7044"/>
    <n v="6969.73"/>
    <n v="-74.270000000000437"/>
    <n v="-1.0543725156161334E-2"/>
    <s v="under budget"/>
  </r>
  <r>
    <d v="2026-06-18T00:00:00"/>
    <x v="5"/>
    <x v="6"/>
    <x v="4"/>
    <n v="43575"/>
    <n v="40136.959999999999"/>
    <n v="-3438.0400000000009"/>
    <n v="-7.8899368904188208E-2"/>
    <s v="under budget"/>
  </r>
  <r>
    <d v="2026-06-19T00:00:00"/>
    <x v="5"/>
    <x v="2"/>
    <x v="5"/>
    <n v="5850"/>
    <n v="5934.64"/>
    <n v="84.640000000000327"/>
    <n v="1.4468376068376124E-2"/>
    <s v="over budget"/>
  </r>
  <r>
    <d v="2026-06-20T00:00:00"/>
    <x v="5"/>
    <x v="8"/>
    <x v="4"/>
    <n v="20998"/>
    <n v="20804.400000000001"/>
    <n v="-193.59999999999854"/>
    <n v="-9.2199257072101415E-3"/>
    <s v="under budget"/>
  </r>
  <r>
    <d v="2026-06-21T00:00:00"/>
    <x v="5"/>
    <x v="1"/>
    <x v="3"/>
    <n v="8577"/>
    <n v="7967.56"/>
    <n v="-609.4399999999996"/>
    <n v="-7.1055147487466427E-2"/>
    <s v="under budget"/>
  </r>
  <r>
    <d v="2026-06-22T00:00:00"/>
    <x v="5"/>
    <x v="3"/>
    <x v="2"/>
    <n v="6513"/>
    <n v="6622.08"/>
    <n v="109.07999999999993"/>
    <n v="1.6748042376784882E-2"/>
    <s v="over budget"/>
  </r>
  <r>
    <d v="2026-06-23T00:00:00"/>
    <x v="5"/>
    <x v="3"/>
    <x v="4"/>
    <n v="43276"/>
    <n v="40347.96"/>
    <n v="-2928.0400000000009"/>
    <n v="-6.7659672797855647E-2"/>
    <s v="under budget"/>
  </r>
  <r>
    <d v="2026-06-24T00:00:00"/>
    <x v="5"/>
    <x v="4"/>
    <x v="1"/>
    <n v="17271"/>
    <n v="15757.76"/>
    <n v="-1513.2399999999998"/>
    <n v="-8.7617393318279183E-2"/>
    <s v="under budget"/>
  </r>
  <r>
    <d v="2026-06-25T00:00:00"/>
    <x v="5"/>
    <x v="8"/>
    <x v="7"/>
    <n v="3537"/>
    <n v="3593.83"/>
    <n v="56.829999999999927"/>
    <n v="1.6067288662708488E-2"/>
    <s v="over budget"/>
  </r>
  <r>
    <d v="2026-06-26T00:00:00"/>
    <x v="5"/>
    <x v="1"/>
    <x v="2"/>
    <n v="4245"/>
    <n v="4328.79"/>
    <n v="83.789999999999964"/>
    <n v="1.9738515901060062E-2"/>
    <s v="over budget"/>
  </r>
  <r>
    <d v="2026-06-27T00:00:00"/>
    <x v="5"/>
    <x v="8"/>
    <x v="7"/>
    <n v="9680"/>
    <n v="10522.83"/>
    <n v="842.82999999999993"/>
    <n v="8.7069214876033044E-2"/>
    <s v="over budget"/>
  </r>
  <r>
    <d v="2026-06-28T00:00:00"/>
    <x v="5"/>
    <x v="5"/>
    <x v="0"/>
    <n v="84042"/>
    <n v="90519.1"/>
    <n v="6477.1000000000058"/>
    <n v="7.7069798434116349E-2"/>
    <s v="over budget"/>
  </r>
  <r>
    <d v="2026-06-29T00:00:00"/>
    <x v="5"/>
    <x v="4"/>
    <x v="2"/>
    <n v="7198"/>
    <n v="6613.81"/>
    <n v="-584.1899999999996"/>
    <n v="-8.1160044456793493E-2"/>
    <s v="under budget"/>
  </r>
  <r>
    <d v="2026-06-30T00:00:00"/>
    <x v="5"/>
    <x v="6"/>
    <x v="0"/>
    <n v="64665"/>
    <n v="62664.25"/>
    <n v="-2000.75"/>
    <n v="-3.0940230418309751E-2"/>
    <s v="under budget"/>
  </r>
  <r>
    <d v="2026-07-01T00:00:00"/>
    <x v="6"/>
    <x v="6"/>
    <x v="2"/>
    <n v="4445"/>
    <n v="4799.99"/>
    <n v="354.98999999999978"/>
    <n v="7.9862767154105688E-2"/>
    <s v="over budget"/>
  </r>
  <r>
    <d v="2026-07-02T00:00:00"/>
    <x v="6"/>
    <x v="6"/>
    <x v="4"/>
    <n v="22463"/>
    <n v="24107.13"/>
    <n v="1644.130000000001"/>
    <n v="7.3192805947558254E-2"/>
    <s v="over budget"/>
  </r>
  <r>
    <d v="2026-07-03T00:00:00"/>
    <x v="6"/>
    <x v="7"/>
    <x v="7"/>
    <n v="3303"/>
    <n v="3302.98"/>
    <n v="-1.999999999998181E-2"/>
    <n v="-6.0551014229433272E-6"/>
    <s v="under budget"/>
  </r>
  <r>
    <d v="2026-07-04T00:00:00"/>
    <x v="6"/>
    <x v="6"/>
    <x v="5"/>
    <n v="2020"/>
    <n v="1889.12"/>
    <n v="-130.88000000000011"/>
    <n v="-6.479207920792085E-2"/>
    <s v="under budget"/>
  </r>
  <r>
    <d v="2026-07-05T00:00:00"/>
    <x v="6"/>
    <x v="2"/>
    <x v="5"/>
    <n v="4463"/>
    <n v="4103.2700000000004"/>
    <n v="-359.72999999999956"/>
    <n v="-8.0602733587273032E-2"/>
    <s v="under budget"/>
  </r>
  <r>
    <d v="2026-07-06T00:00:00"/>
    <x v="6"/>
    <x v="5"/>
    <x v="1"/>
    <n v="17987"/>
    <n v="19726.189999999999"/>
    <n v="1739.1899999999987"/>
    <n v="9.6691499416244997E-2"/>
    <s v="over budget"/>
  </r>
  <r>
    <d v="2026-07-07T00:00:00"/>
    <x v="6"/>
    <x v="1"/>
    <x v="6"/>
    <n v="17429"/>
    <n v="18610.04"/>
    <n v="1181.0400000000009"/>
    <n v="6.7762923862528024E-2"/>
    <s v="over budget"/>
  </r>
  <r>
    <d v="2026-07-08T00:00:00"/>
    <x v="6"/>
    <x v="8"/>
    <x v="6"/>
    <n v="17358"/>
    <n v="18844.77"/>
    <n v="1486.7700000000004"/>
    <n v="8.5653301071552043E-2"/>
    <s v="over budget"/>
  </r>
  <r>
    <d v="2026-07-09T00:00:00"/>
    <x v="6"/>
    <x v="1"/>
    <x v="3"/>
    <n v="4531"/>
    <n v="4495.45"/>
    <n v="-35.550000000000182"/>
    <n v="-7.8459501213860479E-3"/>
    <s v="under budget"/>
  </r>
  <r>
    <d v="2026-07-10T00:00:00"/>
    <x v="6"/>
    <x v="4"/>
    <x v="6"/>
    <n v="21355"/>
    <n v="19751.97"/>
    <n v="-1603.0299999999988"/>
    <n v="-7.506579255443685E-2"/>
    <s v="under budget"/>
  </r>
  <r>
    <d v="2026-07-11T00:00:00"/>
    <x v="6"/>
    <x v="2"/>
    <x v="2"/>
    <n v="5721"/>
    <n v="6085.96"/>
    <n v="364.96000000000004"/>
    <n v="6.3793043174270245E-2"/>
    <s v="over budget"/>
  </r>
  <r>
    <d v="2026-07-12T00:00:00"/>
    <x v="6"/>
    <x v="3"/>
    <x v="1"/>
    <n v="16487"/>
    <n v="18138.16"/>
    <n v="1651.1599999999999"/>
    <n v="0.10014920846727723"/>
    <s v="over budget"/>
  </r>
  <r>
    <d v="2026-07-13T00:00:00"/>
    <x v="6"/>
    <x v="2"/>
    <x v="0"/>
    <n v="94910"/>
    <n v="96584.91"/>
    <n v="1674.9100000000035"/>
    <n v="1.7647350121167457E-2"/>
    <s v="over budget"/>
  </r>
  <r>
    <d v="2026-07-14T00:00:00"/>
    <x v="6"/>
    <x v="6"/>
    <x v="3"/>
    <n v="7771"/>
    <n v="8606.06"/>
    <n v="835.05999999999949"/>
    <n v="0.10745849954960746"/>
    <s v="over budget"/>
  </r>
  <r>
    <d v="2026-07-15T00:00:00"/>
    <x v="6"/>
    <x v="5"/>
    <x v="2"/>
    <n v="3047"/>
    <n v="3216.51"/>
    <n v="169.51000000000022"/>
    <n v="5.5631768953068664E-2"/>
    <s v="over budget"/>
  </r>
  <r>
    <d v="2026-07-16T00:00:00"/>
    <x v="6"/>
    <x v="4"/>
    <x v="1"/>
    <n v="11086"/>
    <n v="10523.65"/>
    <n v="-562.35000000000036"/>
    <n v="-5.0726141078838209E-2"/>
    <s v="under budget"/>
  </r>
  <r>
    <d v="2026-07-17T00:00:00"/>
    <x v="6"/>
    <x v="1"/>
    <x v="5"/>
    <n v="5893"/>
    <n v="6509.35"/>
    <n v="616.35000000000036"/>
    <n v="0.10459019175292726"/>
    <s v="over budget"/>
  </r>
  <r>
    <d v="2026-07-18T00:00:00"/>
    <x v="6"/>
    <x v="2"/>
    <x v="5"/>
    <n v="8735"/>
    <n v="8345.02"/>
    <n v="-389.97999999999956"/>
    <n v="-4.4645678305666806E-2"/>
    <s v="under budget"/>
  </r>
  <r>
    <d v="2026-07-19T00:00:00"/>
    <x v="6"/>
    <x v="8"/>
    <x v="4"/>
    <n v="44928"/>
    <n v="45773.79"/>
    <n v="845.79000000000087"/>
    <n v="1.8825454059829078E-2"/>
    <s v="over budget"/>
  </r>
  <r>
    <d v="2026-07-20T00:00:00"/>
    <x v="6"/>
    <x v="2"/>
    <x v="3"/>
    <n v="7413"/>
    <n v="7734.73"/>
    <n v="321.72999999999956"/>
    <n v="4.3400782409280934E-2"/>
    <s v="over budget"/>
  </r>
  <r>
    <d v="2026-07-21T00:00:00"/>
    <x v="6"/>
    <x v="6"/>
    <x v="4"/>
    <n v="19933"/>
    <n v="19075.14"/>
    <n v="-857.86000000000058"/>
    <n v="-4.3037174534691247E-2"/>
    <s v="under budget"/>
  </r>
  <r>
    <d v="2026-07-22T00:00:00"/>
    <x v="6"/>
    <x v="5"/>
    <x v="1"/>
    <n v="13194"/>
    <n v="13016.73"/>
    <n v="-177.27000000000044"/>
    <n v="-1.3435652569349737E-2"/>
    <s v="under budget"/>
  </r>
  <r>
    <d v="2026-07-23T00:00:00"/>
    <x v="6"/>
    <x v="8"/>
    <x v="7"/>
    <n v="2264"/>
    <n v="2179.48"/>
    <n v="-84.519999999999982"/>
    <n v="-3.7332155477031795E-2"/>
    <s v="under budget"/>
  </r>
  <r>
    <d v="2026-07-24T00:00:00"/>
    <x v="6"/>
    <x v="3"/>
    <x v="6"/>
    <n v="15088"/>
    <n v="16678"/>
    <n v="1590"/>
    <n v="0.10538176033934252"/>
    <s v="over budget"/>
  </r>
  <r>
    <d v="2026-07-25T00:00:00"/>
    <x v="6"/>
    <x v="6"/>
    <x v="0"/>
    <n v="73854"/>
    <n v="66781.45"/>
    <n v="-7072.5500000000029"/>
    <n v="-9.5763939664743988E-2"/>
    <s v="under budget"/>
  </r>
  <r>
    <d v="2026-07-26T00:00:00"/>
    <x v="6"/>
    <x v="6"/>
    <x v="1"/>
    <n v="15628"/>
    <n v="17428.55"/>
    <n v="1800.5499999999993"/>
    <n v="0.1152130790888149"/>
    <s v="over budget"/>
  </r>
  <r>
    <d v="2026-07-27T00:00:00"/>
    <x v="6"/>
    <x v="8"/>
    <x v="2"/>
    <n v="3526"/>
    <n v="3643.16"/>
    <n v="117.15999999999985"/>
    <n v="3.3227453204764563E-2"/>
    <s v="over budget"/>
  </r>
  <r>
    <d v="2026-07-28T00:00:00"/>
    <x v="6"/>
    <x v="6"/>
    <x v="2"/>
    <n v="8371"/>
    <n v="8786.84"/>
    <n v="415.84000000000015"/>
    <n v="4.9676263289929537E-2"/>
    <s v="over budget"/>
  </r>
  <r>
    <d v="2026-07-29T00:00:00"/>
    <x v="6"/>
    <x v="8"/>
    <x v="7"/>
    <n v="3032"/>
    <n v="2983.28"/>
    <n v="-48.7199999999998"/>
    <n v="-1.6068601583113389E-2"/>
    <s v="under budget"/>
  </r>
  <r>
    <d v="2026-07-30T00:00:00"/>
    <x v="6"/>
    <x v="7"/>
    <x v="1"/>
    <n v="13176"/>
    <n v="13239.8"/>
    <n v="63.799999999999272"/>
    <n v="4.8421372191863443E-3"/>
    <s v="over budget"/>
  </r>
  <r>
    <d v="2026-08-01T00:00:00"/>
    <x v="7"/>
    <x v="2"/>
    <x v="3"/>
    <n v="4491"/>
    <n v="4570.6499999999996"/>
    <n v="79.649999999999636"/>
    <n v="1.7735470941883685E-2"/>
    <s v="over budget"/>
  </r>
  <r>
    <d v="2026-08-02T00:00:00"/>
    <x v="7"/>
    <x v="2"/>
    <x v="3"/>
    <n v="3111"/>
    <n v="3382.87"/>
    <n v="271.86999999999989"/>
    <n v="8.7389906782385049E-2"/>
    <s v="over budget"/>
  </r>
  <r>
    <d v="2026-08-03T00:00:00"/>
    <x v="7"/>
    <x v="5"/>
    <x v="7"/>
    <n v="6417"/>
    <n v="6506.41"/>
    <n v="89.409999999999854"/>
    <n v="1.3933302166121217E-2"/>
    <s v="over budget"/>
  </r>
  <r>
    <d v="2026-08-04T00:00:00"/>
    <x v="7"/>
    <x v="1"/>
    <x v="7"/>
    <n v="4588"/>
    <n v="5085.3100000000004"/>
    <n v="497.3100000000004"/>
    <n v="0.10839363557105501"/>
    <s v="over budget"/>
  </r>
  <r>
    <d v="2026-08-05T00:00:00"/>
    <x v="7"/>
    <x v="1"/>
    <x v="0"/>
    <n v="104268"/>
    <n v="106539.02"/>
    <n v="2271.0200000000041"/>
    <n v="2.178060382859558E-2"/>
    <s v="over budget"/>
  </r>
  <r>
    <d v="2026-08-06T00:00:00"/>
    <x v="7"/>
    <x v="1"/>
    <x v="2"/>
    <n v="5261"/>
    <n v="5656"/>
    <n v="395"/>
    <n v="7.5080783121079644E-2"/>
    <s v="over budget"/>
  </r>
  <r>
    <d v="2026-08-07T00:00:00"/>
    <x v="7"/>
    <x v="8"/>
    <x v="0"/>
    <n v="125733"/>
    <n v="128626.05"/>
    <n v="2893.0500000000029"/>
    <n v="2.300947245353251E-2"/>
    <s v="over budget"/>
  </r>
  <r>
    <d v="2026-08-08T00:00:00"/>
    <x v="7"/>
    <x v="3"/>
    <x v="2"/>
    <n v="4250"/>
    <n v="4065.08"/>
    <n v="-184.92000000000007"/>
    <n v="-4.3510588235294134E-2"/>
    <s v="under budget"/>
  </r>
  <r>
    <d v="2026-08-09T00:00:00"/>
    <x v="7"/>
    <x v="2"/>
    <x v="0"/>
    <n v="90269"/>
    <n v="82051.009999999995"/>
    <n v="-8217.9900000000052"/>
    <n v="-9.1038894858700162E-2"/>
    <s v="under budget"/>
  </r>
  <r>
    <d v="2026-08-10T00:00:00"/>
    <x v="7"/>
    <x v="5"/>
    <x v="0"/>
    <n v="75184"/>
    <n v="73059.45"/>
    <n v="-2124.5500000000029"/>
    <n v="-2.8258007022770842E-2"/>
    <s v="under budget"/>
  </r>
  <r>
    <d v="2026-08-11T00:00:00"/>
    <x v="7"/>
    <x v="7"/>
    <x v="3"/>
    <n v="2650"/>
    <n v="2839.2"/>
    <n v="189.19999999999982"/>
    <n v="7.1396226415094272E-2"/>
    <s v="over budget"/>
  </r>
  <r>
    <d v="2026-08-12T00:00:00"/>
    <x v="7"/>
    <x v="6"/>
    <x v="2"/>
    <n v="8782"/>
    <n v="9738.5499999999993"/>
    <n v="956.54999999999927"/>
    <n v="0.10892165793668859"/>
    <s v="over budget"/>
  </r>
  <r>
    <d v="2026-08-13T00:00:00"/>
    <x v="7"/>
    <x v="6"/>
    <x v="1"/>
    <n v="10420"/>
    <n v="10095.44"/>
    <n v="-324.55999999999949"/>
    <n v="-3.1147792706333926E-2"/>
    <s v="under budget"/>
  </r>
  <r>
    <d v="2026-08-14T00:00:00"/>
    <x v="7"/>
    <x v="8"/>
    <x v="5"/>
    <n v="5604"/>
    <n v="5505.25"/>
    <n v="-98.75"/>
    <n v="-1.7621341898643825E-2"/>
    <s v="under budget"/>
  </r>
  <r>
    <d v="2026-08-15T00:00:00"/>
    <x v="7"/>
    <x v="6"/>
    <x v="3"/>
    <n v="9704"/>
    <n v="10508.72"/>
    <n v="804.71999999999935"/>
    <n v="8.2926628194558871E-2"/>
    <s v="over budget"/>
  </r>
  <r>
    <d v="2026-08-16T00:00:00"/>
    <x v="7"/>
    <x v="4"/>
    <x v="4"/>
    <n v="34865"/>
    <n v="33262.449999999997"/>
    <n v="-1602.5500000000029"/>
    <n v="-4.5964434246378971E-2"/>
    <s v="under budget"/>
  </r>
  <r>
    <d v="2026-08-17T00:00:00"/>
    <x v="7"/>
    <x v="2"/>
    <x v="7"/>
    <n v="7765"/>
    <n v="7477.08"/>
    <n v="-287.92000000000007"/>
    <n v="-3.7079201545396019E-2"/>
    <s v="under budget"/>
  </r>
  <r>
    <d v="2026-08-18T00:00:00"/>
    <x v="7"/>
    <x v="1"/>
    <x v="5"/>
    <n v="7247"/>
    <n v="7439.43"/>
    <n v="192.43000000000029"/>
    <n v="2.6553056437146446E-2"/>
    <s v="over budget"/>
  </r>
  <r>
    <d v="2026-08-19T00:00:00"/>
    <x v="7"/>
    <x v="6"/>
    <x v="2"/>
    <n v="3038"/>
    <n v="3159.37"/>
    <n v="121.36999999999989"/>
    <n v="3.9950625411454867E-2"/>
    <s v="over budget"/>
  </r>
  <r>
    <d v="2026-08-20T00:00:00"/>
    <x v="7"/>
    <x v="1"/>
    <x v="0"/>
    <n v="104396"/>
    <n v="94225.65"/>
    <n v="-10170.350000000006"/>
    <n v="-9.7420878194566893E-2"/>
    <s v="under budget"/>
  </r>
  <r>
    <d v="2026-08-21T00:00:00"/>
    <x v="7"/>
    <x v="5"/>
    <x v="1"/>
    <n v="9162"/>
    <n v="9599.61"/>
    <n v="437.61000000000058"/>
    <n v="4.7763588736083891E-2"/>
    <s v="over budget"/>
  </r>
  <r>
    <d v="2026-08-22T00:00:00"/>
    <x v="7"/>
    <x v="5"/>
    <x v="4"/>
    <n v="34351"/>
    <n v="36413.42"/>
    <n v="2062.4199999999983"/>
    <n v="6.0039591278274233E-2"/>
    <s v="over budget"/>
  </r>
  <r>
    <d v="2026-08-23T00:00:00"/>
    <x v="7"/>
    <x v="3"/>
    <x v="0"/>
    <n v="99153"/>
    <n v="95588.07"/>
    <n v="-3564.929999999993"/>
    <n v="-3.5953828931045886E-2"/>
    <s v="under budget"/>
  </r>
  <r>
    <d v="2026-08-24T00:00:00"/>
    <x v="7"/>
    <x v="7"/>
    <x v="5"/>
    <n v="2471"/>
    <n v="2743.62"/>
    <n v="272.61999999999989"/>
    <n v="0.11032780250910558"/>
    <s v="over budget"/>
  </r>
  <r>
    <d v="2026-08-25T00:00:00"/>
    <x v="7"/>
    <x v="5"/>
    <x v="7"/>
    <n v="4933"/>
    <n v="4762.09"/>
    <n v="-170.90999999999985"/>
    <n v="-3.4646259882424459E-2"/>
    <s v="under budget"/>
  </r>
  <r>
    <d v="2026-08-26T00:00:00"/>
    <x v="7"/>
    <x v="8"/>
    <x v="1"/>
    <n v="13599"/>
    <n v="14439.69"/>
    <n v="840.69000000000051"/>
    <n v="6.1819986763732668E-2"/>
    <s v="over budget"/>
  </r>
  <r>
    <d v="2026-08-27T00:00:00"/>
    <x v="7"/>
    <x v="2"/>
    <x v="5"/>
    <n v="8657"/>
    <n v="8955.59"/>
    <n v="298.59000000000015"/>
    <n v="3.4491163220515209E-2"/>
    <s v="over budget"/>
  </r>
  <r>
    <d v="2026-08-28T00:00:00"/>
    <x v="7"/>
    <x v="4"/>
    <x v="6"/>
    <n v="18299"/>
    <n v="17658.349999999999"/>
    <n v="-640.65000000000146"/>
    <n v="-3.5010109842067955E-2"/>
    <s v="under budget"/>
  </r>
  <r>
    <d v="2026-08-29T00:00:00"/>
    <x v="7"/>
    <x v="3"/>
    <x v="3"/>
    <n v="5522"/>
    <n v="5016.01"/>
    <n v="-505.98999999999978"/>
    <n v="-9.1631655197392206E-2"/>
    <s v="under budget"/>
  </r>
  <r>
    <d v="2026-08-30T00:00:00"/>
    <x v="7"/>
    <x v="7"/>
    <x v="0"/>
    <n v="50724"/>
    <n v="48878.879999999997"/>
    <n v="-1845.1200000000026"/>
    <n v="-3.6375680151407672E-2"/>
    <s v="under budget"/>
  </r>
  <r>
    <d v="2026-09-01T00:00:00"/>
    <x v="8"/>
    <x v="6"/>
    <x v="1"/>
    <n v="11851"/>
    <n v="11699.9"/>
    <n v="-151.10000000000036"/>
    <n v="-1.2749978904733809E-2"/>
    <s v="under budget"/>
  </r>
  <r>
    <d v="2026-09-02T00:00:00"/>
    <x v="8"/>
    <x v="5"/>
    <x v="7"/>
    <n v="7762"/>
    <n v="7705.69"/>
    <n v="-56.3100000000004"/>
    <n v="-7.2545735635146094E-3"/>
    <s v="under budget"/>
  </r>
  <r>
    <d v="2026-09-03T00:00:00"/>
    <x v="8"/>
    <x v="7"/>
    <x v="1"/>
    <n v="19576"/>
    <n v="20772.580000000002"/>
    <n v="1196.5800000000017"/>
    <n v="6.1124846751123917E-2"/>
    <s v="over budget"/>
  </r>
  <r>
    <d v="2026-09-04T00:00:00"/>
    <x v="8"/>
    <x v="2"/>
    <x v="7"/>
    <n v="5990"/>
    <n v="5716.02"/>
    <n v="-273.97999999999956"/>
    <n v="-4.5739565943238657E-2"/>
    <s v="under budget"/>
  </r>
  <r>
    <d v="2026-09-05T00:00:00"/>
    <x v="8"/>
    <x v="4"/>
    <x v="3"/>
    <n v="5246"/>
    <n v="5682.49"/>
    <n v="436.48999999999978"/>
    <n v="8.3204346168509302E-2"/>
    <s v="over budget"/>
  </r>
  <r>
    <d v="2026-09-06T00:00:00"/>
    <x v="8"/>
    <x v="3"/>
    <x v="6"/>
    <n v="20957"/>
    <n v="19477.38"/>
    <n v="-1479.619999999999"/>
    <n v="-7.0602662594836996E-2"/>
    <s v="under budget"/>
  </r>
  <r>
    <d v="2026-09-07T00:00:00"/>
    <x v="8"/>
    <x v="8"/>
    <x v="5"/>
    <n v="9315"/>
    <n v="9738.16"/>
    <n v="423.15999999999985"/>
    <n v="4.5427804616210397E-2"/>
    <s v="over budget"/>
  </r>
  <r>
    <d v="2026-09-08T00:00:00"/>
    <x v="8"/>
    <x v="1"/>
    <x v="5"/>
    <n v="2605"/>
    <n v="2662.11"/>
    <n v="57.110000000000127"/>
    <n v="2.1923224568138246E-2"/>
    <s v="over budget"/>
  </r>
  <r>
    <d v="2026-09-09T00:00:00"/>
    <x v="8"/>
    <x v="8"/>
    <x v="4"/>
    <n v="28760"/>
    <n v="26386.97"/>
    <n v="-2373.0299999999988"/>
    <n v="-8.2511474269819154E-2"/>
    <s v="under budget"/>
  </r>
  <r>
    <d v="2026-09-10T00:00:00"/>
    <x v="8"/>
    <x v="3"/>
    <x v="5"/>
    <n v="3554"/>
    <n v="3874.48"/>
    <n v="320.48"/>
    <n v="9.017445132245358E-2"/>
    <s v="over budget"/>
  </r>
  <r>
    <d v="2026-09-11T00:00:00"/>
    <x v="8"/>
    <x v="3"/>
    <x v="1"/>
    <n v="11589"/>
    <n v="12792.18"/>
    <n v="1203.1800000000003"/>
    <n v="0.10382086461299511"/>
    <s v="over budget"/>
  </r>
  <r>
    <d v="2026-09-12T00:00:00"/>
    <x v="8"/>
    <x v="3"/>
    <x v="6"/>
    <n v="12176"/>
    <n v="11658.1"/>
    <n v="-517.89999999999964"/>
    <n v="-4.2534494086727957E-2"/>
    <s v="under budget"/>
  </r>
  <r>
    <d v="2026-09-13T00:00:00"/>
    <x v="8"/>
    <x v="1"/>
    <x v="5"/>
    <n v="8003"/>
    <n v="8870.58"/>
    <n v="867.57999999999993"/>
    <n v="0.1084068474322129"/>
    <s v="over budget"/>
  </r>
  <r>
    <d v="2026-09-14T00:00:00"/>
    <x v="8"/>
    <x v="5"/>
    <x v="5"/>
    <n v="2756"/>
    <n v="2527.6"/>
    <n v="-228.40000000000009"/>
    <n v="-8.2873730043541399E-2"/>
    <s v="under budget"/>
  </r>
  <r>
    <d v="2026-09-15T00:00:00"/>
    <x v="8"/>
    <x v="4"/>
    <x v="6"/>
    <n v="12637"/>
    <n v="12521.09"/>
    <n v="-115.90999999999985"/>
    <n v="-9.172271899976249E-3"/>
    <s v="under budget"/>
  </r>
  <r>
    <d v="2026-09-16T00:00:00"/>
    <x v="8"/>
    <x v="2"/>
    <x v="2"/>
    <n v="8602"/>
    <n v="8918.9699999999993"/>
    <n v="316.96999999999935"/>
    <n v="3.6848407347128499E-2"/>
    <s v="over budget"/>
  </r>
  <r>
    <d v="2026-09-17T00:00:00"/>
    <x v="8"/>
    <x v="3"/>
    <x v="2"/>
    <n v="4002"/>
    <n v="4255.04"/>
    <n v="253.03999999999996"/>
    <n v="6.3228385807096443E-2"/>
    <s v="over budget"/>
  </r>
  <r>
    <d v="2026-09-18T00:00:00"/>
    <x v="8"/>
    <x v="1"/>
    <x v="5"/>
    <n v="9299"/>
    <n v="10051.59"/>
    <n v="752.59000000000015"/>
    <n v="8.0932358318098738E-2"/>
    <s v="over budget"/>
  </r>
  <r>
    <d v="2026-09-19T00:00:00"/>
    <x v="8"/>
    <x v="5"/>
    <x v="7"/>
    <n v="9906"/>
    <n v="9999.9699999999993"/>
    <n v="93.969999999999345"/>
    <n v="9.4861699979809557E-3"/>
    <s v="over budget"/>
  </r>
  <r>
    <d v="2026-09-20T00:00:00"/>
    <x v="8"/>
    <x v="4"/>
    <x v="3"/>
    <n v="9327"/>
    <n v="9755.8799999999992"/>
    <n v="428.8799999999992"/>
    <n v="4.5982631071083864E-2"/>
    <s v="over budget"/>
  </r>
  <r>
    <d v="2026-09-21T00:00:00"/>
    <x v="8"/>
    <x v="5"/>
    <x v="1"/>
    <n v="8584"/>
    <n v="8903.4500000000007"/>
    <n v="319.45000000000073"/>
    <n v="3.7214585274930184E-2"/>
    <s v="over budget"/>
  </r>
  <r>
    <d v="2026-09-22T00:00:00"/>
    <x v="8"/>
    <x v="2"/>
    <x v="0"/>
    <n v="78305"/>
    <n v="72499.06"/>
    <n v="-5805.9400000000023"/>
    <n v="-7.4145201455845758E-2"/>
    <s v="under budget"/>
  </r>
  <r>
    <d v="2026-09-23T00:00:00"/>
    <x v="8"/>
    <x v="6"/>
    <x v="3"/>
    <n v="2331"/>
    <n v="2576.9899999999998"/>
    <n v="245.98999999999978"/>
    <n v="0.10552981552981544"/>
    <s v="over budget"/>
  </r>
  <r>
    <d v="2026-09-24T00:00:00"/>
    <x v="8"/>
    <x v="4"/>
    <x v="5"/>
    <n v="8298"/>
    <n v="7743.91"/>
    <n v="-554.09000000000015"/>
    <n v="-6.6773921426849861E-2"/>
    <s v="under budget"/>
  </r>
  <r>
    <d v="2026-09-25T00:00:00"/>
    <x v="8"/>
    <x v="5"/>
    <x v="4"/>
    <n v="36658"/>
    <n v="33141.96"/>
    <n v="-3516.0400000000009"/>
    <n v="-9.5914670740356839E-2"/>
    <s v="under budget"/>
  </r>
  <r>
    <d v="2026-09-26T00:00:00"/>
    <x v="8"/>
    <x v="8"/>
    <x v="4"/>
    <n v="34355"/>
    <n v="34399.33"/>
    <n v="44.330000000001746"/>
    <n v="1.2903507495270483E-3"/>
    <s v="over budget"/>
  </r>
  <r>
    <d v="2026-09-27T00:00:00"/>
    <x v="8"/>
    <x v="7"/>
    <x v="1"/>
    <n v="18811"/>
    <n v="20764.080000000002"/>
    <n v="1953.0800000000017"/>
    <n v="0.1038264845037479"/>
    <s v="over budget"/>
  </r>
  <r>
    <d v="2026-09-28T00:00:00"/>
    <x v="8"/>
    <x v="7"/>
    <x v="6"/>
    <n v="19445"/>
    <n v="18195.830000000002"/>
    <n v="-1249.1699999999983"/>
    <n v="-6.4241193108768233E-2"/>
    <s v="under budget"/>
  </r>
  <r>
    <d v="2026-09-29T00:00:00"/>
    <x v="8"/>
    <x v="2"/>
    <x v="2"/>
    <n v="8669"/>
    <n v="8232.5300000000007"/>
    <n v="-436.46999999999935"/>
    <n v="-5.0348367747144927E-2"/>
    <s v="under budget"/>
  </r>
  <r>
    <d v="2026-09-30T00:00:00"/>
    <x v="8"/>
    <x v="7"/>
    <x v="1"/>
    <n v="12002"/>
    <n v="10854.06"/>
    <n v="-1147.9400000000005"/>
    <n v="-9.5645725712381308E-2"/>
    <s v="under budget"/>
  </r>
  <r>
    <d v="2026-10-01T00:00:00"/>
    <x v="9"/>
    <x v="5"/>
    <x v="1"/>
    <n v="7110"/>
    <n v="6906.75"/>
    <n v="-203.25"/>
    <n v="-2.8586497890295357E-2"/>
    <s v="under budget"/>
  </r>
  <r>
    <d v="2026-10-02T00:00:00"/>
    <x v="9"/>
    <x v="8"/>
    <x v="7"/>
    <n v="8919"/>
    <n v="9133.6200000000008"/>
    <n v="214.6200000000008"/>
    <n v="2.4063235788765645E-2"/>
    <s v="over budget"/>
  </r>
  <r>
    <d v="2026-10-03T00:00:00"/>
    <x v="9"/>
    <x v="7"/>
    <x v="1"/>
    <n v="17995"/>
    <n v="17429.63"/>
    <n v="-565.36999999999898"/>
    <n v="-3.1418171714365048E-2"/>
    <s v="under budget"/>
  </r>
  <r>
    <d v="2026-10-04T00:00:00"/>
    <x v="9"/>
    <x v="5"/>
    <x v="2"/>
    <n v="8797"/>
    <n v="9385.33"/>
    <n v="588.32999999999993"/>
    <n v="6.6878481300443327E-2"/>
    <s v="over budget"/>
  </r>
  <r>
    <d v="2026-10-05T00:00:00"/>
    <x v="9"/>
    <x v="7"/>
    <x v="3"/>
    <n v="5131"/>
    <n v="5509.78"/>
    <n v="378.77999999999975"/>
    <n v="7.3821867082440026E-2"/>
    <s v="over budget"/>
  </r>
  <r>
    <d v="2026-10-06T00:00:00"/>
    <x v="9"/>
    <x v="8"/>
    <x v="0"/>
    <n v="94210"/>
    <n v="94875.41"/>
    <n v="665.41000000000349"/>
    <n v="7.0630506315678115E-3"/>
    <s v="over budget"/>
  </r>
  <r>
    <d v="2026-10-07T00:00:00"/>
    <x v="9"/>
    <x v="8"/>
    <x v="7"/>
    <n v="9817"/>
    <n v="9357.09"/>
    <n v="-459.90999999999985"/>
    <n v="-4.6848324335336644E-2"/>
    <s v="under budget"/>
  </r>
  <r>
    <d v="2026-10-08T00:00:00"/>
    <x v="9"/>
    <x v="5"/>
    <x v="0"/>
    <n v="129459"/>
    <n v="119663.14"/>
    <n v="-9795.86"/>
    <n v="-7.5667663121142606E-2"/>
    <s v="under budget"/>
  </r>
  <r>
    <d v="2026-10-09T00:00:00"/>
    <x v="9"/>
    <x v="8"/>
    <x v="7"/>
    <n v="8718"/>
    <n v="9520.66"/>
    <n v="802.65999999999985"/>
    <n v="9.2069281945400303E-2"/>
    <s v="over budget"/>
  </r>
  <r>
    <d v="2026-10-10T00:00:00"/>
    <x v="9"/>
    <x v="4"/>
    <x v="7"/>
    <n v="4836"/>
    <n v="5385.36"/>
    <n v="549.35999999999967"/>
    <n v="0.1135980148883374"/>
    <s v="over budget"/>
  </r>
  <r>
    <d v="2026-10-11T00:00:00"/>
    <x v="9"/>
    <x v="3"/>
    <x v="5"/>
    <n v="8471"/>
    <n v="9169.23"/>
    <n v="698.22999999999956"/>
    <n v="8.2425923739818149E-2"/>
    <s v="over budget"/>
  </r>
  <r>
    <d v="2026-10-12T00:00:00"/>
    <x v="9"/>
    <x v="1"/>
    <x v="0"/>
    <n v="77288"/>
    <n v="85568.28"/>
    <n v="8280.2799999999988"/>
    <n v="0.10713538971121001"/>
    <s v="over budget"/>
  </r>
  <r>
    <d v="2026-10-13T00:00:00"/>
    <x v="9"/>
    <x v="6"/>
    <x v="2"/>
    <n v="4840"/>
    <n v="4504.71"/>
    <n v="-335.28999999999996"/>
    <n v="-6.9274793388429748E-2"/>
    <s v="under budget"/>
  </r>
  <r>
    <d v="2026-10-14T00:00:00"/>
    <x v="9"/>
    <x v="7"/>
    <x v="2"/>
    <n v="9411"/>
    <n v="9522.8700000000008"/>
    <n v="111.8700000000008"/>
    <n v="1.1887153331208246E-2"/>
    <s v="over budget"/>
  </r>
  <r>
    <d v="2026-10-15T00:00:00"/>
    <x v="9"/>
    <x v="4"/>
    <x v="1"/>
    <n v="21418"/>
    <n v="23945.66"/>
    <n v="2527.66"/>
    <n v="0.11801568773928471"/>
    <s v="over budget"/>
  </r>
  <r>
    <d v="2026-10-16T00:00:00"/>
    <x v="9"/>
    <x v="1"/>
    <x v="4"/>
    <n v="31485"/>
    <n v="29678.36"/>
    <n v="-1806.6399999999994"/>
    <n v="-5.7380975067492436E-2"/>
    <s v="under budget"/>
  </r>
  <r>
    <d v="2026-10-17T00:00:00"/>
    <x v="9"/>
    <x v="5"/>
    <x v="0"/>
    <n v="109559"/>
    <n v="105944.93"/>
    <n v="-3614.070000000007"/>
    <n v="-3.2987431429640716E-2"/>
    <s v="under budget"/>
  </r>
  <r>
    <d v="2026-10-18T00:00:00"/>
    <x v="9"/>
    <x v="4"/>
    <x v="1"/>
    <n v="21386"/>
    <n v="20115.830000000002"/>
    <n v="-1270.1699999999983"/>
    <n v="-5.939259328532677E-2"/>
    <s v="under budget"/>
  </r>
  <r>
    <d v="2026-10-19T00:00:00"/>
    <x v="9"/>
    <x v="2"/>
    <x v="0"/>
    <n v="127477"/>
    <n v="137408.6"/>
    <n v="9931.6000000000058"/>
    <n v="7.7908956125418746E-2"/>
    <s v="over budget"/>
  </r>
  <r>
    <d v="2026-10-20T00:00:00"/>
    <x v="9"/>
    <x v="4"/>
    <x v="5"/>
    <n v="8034"/>
    <n v="8011.85"/>
    <n v="-22.149999999999636"/>
    <n v="-2.757032611401498E-3"/>
    <s v="under budget"/>
  </r>
  <r>
    <d v="2026-10-21T00:00:00"/>
    <x v="9"/>
    <x v="8"/>
    <x v="3"/>
    <n v="5380"/>
    <n v="4976.82"/>
    <n v="-403.18000000000029"/>
    <n v="-7.4940520446096712E-2"/>
    <s v="under budget"/>
  </r>
  <r>
    <d v="2026-10-22T00:00:00"/>
    <x v="9"/>
    <x v="2"/>
    <x v="3"/>
    <n v="3933"/>
    <n v="3688.71"/>
    <n v="-244.28999999999996"/>
    <n v="-6.2112890922959567E-2"/>
    <s v="under budget"/>
  </r>
  <r>
    <d v="2026-10-23T00:00:00"/>
    <x v="9"/>
    <x v="5"/>
    <x v="4"/>
    <n v="20770"/>
    <n v="20413.61"/>
    <n v="-356.38999999999942"/>
    <n v="-1.7158883004333145E-2"/>
    <s v="under budget"/>
  </r>
  <r>
    <d v="2026-10-24T00:00:00"/>
    <x v="9"/>
    <x v="6"/>
    <x v="0"/>
    <n v="107376"/>
    <n v="108363.73"/>
    <n v="987.72999999999593"/>
    <n v="9.198796751601809E-3"/>
    <s v="over budget"/>
  </r>
  <r>
    <d v="2026-10-25T00:00:00"/>
    <x v="9"/>
    <x v="1"/>
    <x v="5"/>
    <n v="5213"/>
    <n v="5755.82"/>
    <n v="542.81999999999971"/>
    <n v="0.10412814118549774"/>
    <s v="over budget"/>
  </r>
  <r>
    <d v="2026-10-26T00:00:00"/>
    <x v="9"/>
    <x v="4"/>
    <x v="2"/>
    <n v="7111"/>
    <n v="7285.04"/>
    <n v="174.03999999999996"/>
    <n v="2.4474757418084653E-2"/>
    <s v="over budget"/>
  </r>
  <r>
    <d v="2026-10-27T00:00:00"/>
    <x v="9"/>
    <x v="4"/>
    <x v="5"/>
    <n v="2146"/>
    <n v="2149.42"/>
    <n v="3.4200000000000728"/>
    <n v="1.5936626281454207E-3"/>
    <s v="over budget"/>
  </r>
  <r>
    <d v="2026-10-28T00:00:00"/>
    <x v="9"/>
    <x v="2"/>
    <x v="3"/>
    <n v="9157"/>
    <n v="8353.42"/>
    <n v="-803.57999999999993"/>
    <n v="-8.7755815223326414E-2"/>
    <s v="under budget"/>
  </r>
  <r>
    <d v="2026-10-29T00:00:00"/>
    <x v="9"/>
    <x v="3"/>
    <x v="3"/>
    <n v="3683"/>
    <n v="3618.03"/>
    <n v="-64.9699999999998"/>
    <n v="-1.7640510453434646E-2"/>
    <s v="under budget"/>
  </r>
  <r>
    <d v="2026-10-30T00:00:00"/>
    <x v="9"/>
    <x v="5"/>
    <x v="1"/>
    <n v="11163"/>
    <n v="12300.94"/>
    <n v="1137.9400000000005"/>
    <n v="0.1019385469855774"/>
    <s v="over budget"/>
  </r>
  <r>
    <d v="2026-11-01T00:00:00"/>
    <x v="10"/>
    <x v="4"/>
    <x v="1"/>
    <n v="18277"/>
    <n v="19416.59"/>
    <n v="1139.5900000000001"/>
    <n v="6.2351042293593048E-2"/>
    <s v="over budget"/>
  </r>
  <r>
    <d v="2026-11-02T00:00:00"/>
    <x v="10"/>
    <x v="3"/>
    <x v="4"/>
    <n v="40259"/>
    <n v="39555.230000000003"/>
    <n v="-703.7699999999968"/>
    <n v="-1.748106013562177E-2"/>
    <s v="under budget"/>
  </r>
  <r>
    <d v="2026-11-03T00:00:00"/>
    <x v="10"/>
    <x v="6"/>
    <x v="3"/>
    <n v="9830"/>
    <n v="10317.85"/>
    <n v="487.85000000000036"/>
    <n v="4.9628687690742662E-2"/>
    <s v="over budget"/>
  </r>
  <r>
    <d v="2026-11-04T00:00:00"/>
    <x v="10"/>
    <x v="5"/>
    <x v="6"/>
    <n v="18898"/>
    <n v="21037.15"/>
    <n v="2139.1500000000015"/>
    <n v="0.11319451793840626"/>
    <s v="over budget"/>
  </r>
  <r>
    <d v="2026-11-05T00:00:00"/>
    <x v="10"/>
    <x v="2"/>
    <x v="0"/>
    <n v="129835"/>
    <n v="124697.14"/>
    <n v="-5137.8600000000006"/>
    <n v="-3.9572226287210695E-2"/>
    <s v="under budget"/>
  </r>
  <r>
    <d v="2026-11-06T00:00:00"/>
    <x v="10"/>
    <x v="6"/>
    <x v="0"/>
    <n v="64330"/>
    <n v="66828.78"/>
    <n v="2498.7799999999988"/>
    <n v="3.8843152494947908E-2"/>
    <s v="over budget"/>
  </r>
  <r>
    <d v="2026-11-07T00:00:00"/>
    <x v="10"/>
    <x v="5"/>
    <x v="3"/>
    <n v="2543"/>
    <n v="2721.47"/>
    <n v="178.4699999999998"/>
    <n v="7.0180888714117109E-2"/>
    <s v="over budget"/>
  </r>
  <r>
    <d v="2026-11-08T00:00:00"/>
    <x v="10"/>
    <x v="5"/>
    <x v="7"/>
    <n v="4581"/>
    <n v="4273.8500000000004"/>
    <n v="-307.14999999999964"/>
    <n v="-6.7048679327657637E-2"/>
    <s v="under budget"/>
  </r>
  <r>
    <d v="2026-11-09T00:00:00"/>
    <x v="10"/>
    <x v="6"/>
    <x v="7"/>
    <n v="6018"/>
    <n v="6151.93"/>
    <n v="133.93000000000029"/>
    <n v="2.2254901960784362E-2"/>
    <s v="over budget"/>
  </r>
  <r>
    <d v="2026-11-10T00:00:00"/>
    <x v="10"/>
    <x v="4"/>
    <x v="0"/>
    <n v="91270"/>
    <n v="97230.94"/>
    <n v="5960.9400000000023"/>
    <n v="6.5311055111208521E-2"/>
    <s v="over budget"/>
  </r>
  <r>
    <d v="2026-11-11T00:00:00"/>
    <x v="10"/>
    <x v="8"/>
    <x v="3"/>
    <n v="9894"/>
    <n v="10512.95"/>
    <n v="618.95000000000073"/>
    <n v="6.2558116029917191E-2"/>
    <s v="over budget"/>
  </r>
  <r>
    <d v="2026-11-12T00:00:00"/>
    <x v="10"/>
    <x v="4"/>
    <x v="0"/>
    <n v="65947"/>
    <n v="70876.34"/>
    <n v="4929.3399999999965"/>
    <n v="7.4746993798049902E-2"/>
    <s v="over budget"/>
  </r>
  <r>
    <d v="2026-11-13T00:00:00"/>
    <x v="10"/>
    <x v="4"/>
    <x v="1"/>
    <n v="9773"/>
    <n v="9207.2000000000007"/>
    <n v="-565.79999999999927"/>
    <n v="-5.7894198301442677E-2"/>
    <s v="under budget"/>
  </r>
  <r>
    <d v="2026-11-14T00:00:00"/>
    <x v="10"/>
    <x v="6"/>
    <x v="3"/>
    <n v="2713"/>
    <n v="2697.04"/>
    <n v="-15.960000000000036"/>
    <n v="-5.8827865831183324E-3"/>
    <s v="under budget"/>
  </r>
  <r>
    <d v="2026-11-15T00:00:00"/>
    <x v="10"/>
    <x v="8"/>
    <x v="0"/>
    <n v="61315"/>
    <n v="68244.38"/>
    <n v="6929.3800000000047"/>
    <n v="0.11301280273994951"/>
    <s v="over budget"/>
  </r>
  <r>
    <d v="2026-11-16T00:00:00"/>
    <x v="10"/>
    <x v="6"/>
    <x v="3"/>
    <n v="4546"/>
    <n v="4976.0200000000004"/>
    <n v="430.02000000000044"/>
    <n v="9.4593048834140006E-2"/>
    <s v="over budget"/>
  </r>
  <r>
    <d v="2026-11-17T00:00:00"/>
    <x v="10"/>
    <x v="3"/>
    <x v="5"/>
    <n v="3711"/>
    <n v="3452.46"/>
    <n v="-258.53999999999996"/>
    <n v="-6.9668552950687135E-2"/>
    <s v="under budget"/>
  </r>
  <r>
    <d v="2026-11-18T00:00:00"/>
    <x v="10"/>
    <x v="4"/>
    <x v="4"/>
    <n v="44501"/>
    <n v="47643.54"/>
    <n v="3142.5400000000009"/>
    <n v="7.0617289499112404E-2"/>
    <s v="over budget"/>
  </r>
  <r>
    <d v="2026-11-19T00:00:00"/>
    <x v="10"/>
    <x v="2"/>
    <x v="1"/>
    <n v="17578"/>
    <n v="18120.73"/>
    <n v="542.72999999999956"/>
    <n v="3.0875526225964248E-2"/>
    <s v="over budget"/>
  </r>
  <r>
    <d v="2026-11-20T00:00:00"/>
    <x v="10"/>
    <x v="5"/>
    <x v="0"/>
    <n v="91944"/>
    <n v="101149.22"/>
    <n v="9205.2200000000012"/>
    <n v="0.10011768032715568"/>
    <s v="over budget"/>
  </r>
  <r>
    <d v="2026-11-21T00:00:00"/>
    <x v="10"/>
    <x v="7"/>
    <x v="1"/>
    <n v="10458"/>
    <n v="10363.48"/>
    <n v="-94.520000000000437"/>
    <n v="-9.0380569898642609E-3"/>
    <s v="under budget"/>
  </r>
  <r>
    <d v="2026-11-22T00:00:00"/>
    <x v="10"/>
    <x v="5"/>
    <x v="7"/>
    <n v="5652"/>
    <n v="6194.29"/>
    <n v="542.29"/>
    <n v="9.5946567586694967E-2"/>
    <s v="over budget"/>
  </r>
  <r>
    <d v="2026-11-23T00:00:00"/>
    <x v="10"/>
    <x v="8"/>
    <x v="1"/>
    <n v="12859"/>
    <n v="11742.25"/>
    <n v="-1116.75"/>
    <n v="-8.6845788941597321E-2"/>
    <s v="under budget"/>
  </r>
  <r>
    <d v="2026-11-24T00:00:00"/>
    <x v="10"/>
    <x v="8"/>
    <x v="2"/>
    <n v="5132"/>
    <n v="5531.96"/>
    <n v="399.96000000000004"/>
    <n v="7.7934528448947785E-2"/>
    <s v="over budget"/>
  </r>
  <r>
    <d v="2026-11-25T00:00:00"/>
    <x v="10"/>
    <x v="4"/>
    <x v="4"/>
    <n v="23862"/>
    <n v="22359.99"/>
    <n v="-1502.0099999999984"/>
    <n v="-6.294568770429966E-2"/>
    <s v="under budget"/>
  </r>
  <r>
    <d v="2026-11-26T00:00:00"/>
    <x v="10"/>
    <x v="3"/>
    <x v="1"/>
    <n v="11280"/>
    <n v="10328.74"/>
    <n v="-951.26000000000022"/>
    <n v="-8.4331560283687962E-2"/>
    <s v="under budget"/>
  </r>
  <r>
    <d v="2026-11-27T00:00:00"/>
    <x v="10"/>
    <x v="6"/>
    <x v="0"/>
    <n v="69906"/>
    <n v="68249.63"/>
    <n v="-1656.3699999999953"/>
    <n v="-2.3694246559665771E-2"/>
    <s v="under budget"/>
  </r>
  <r>
    <d v="2026-11-28T00:00:00"/>
    <x v="10"/>
    <x v="4"/>
    <x v="2"/>
    <n v="8020"/>
    <n v="8503.57"/>
    <n v="483.56999999999971"/>
    <n v="6.0295511221945104E-2"/>
    <s v="over budget"/>
  </r>
  <r>
    <d v="2026-11-29T00:00:00"/>
    <x v="10"/>
    <x v="5"/>
    <x v="7"/>
    <n v="5275"/>
    <n v="5779.22"/>
    <n v="504.22000000000025"/>
    <n v="9.5586729857819949E-2"/>
    <s v="over budget"/>
  </r>
  <r>
    <d v="2026-11-30T00:00:00"/>
    <x v="10"/>
    <x v="1"/>
    <x v="1"/>
    <n v="15937"/>
    <n v="16191.27"/>
    <n v="254.27000000000044"/>
    <n v="1.595469661793314E-2"/>
    <s v="over budget"/>
  </r>
  <r>
    <d v="2026-12-01T00:00:00"/>
    <x v="11"/>
    <x v="7"/>
    <x v="7"/>
    <n v="6190"/>
    <n v="6730.83"/>
    <n v="540.82999999999993"/>
    <n v="8.7371567043618731E-2"/>
    <s v="over budget"/>
  </r>
  <r>
    <d v="2026-12-02T00:00:00"/>
    <x v="11"/>
    <x v="5"/>
    <x v="0"/>
    <n v="118787"/>
    <n v="110411.33"/>
    <n v="-8375.6699999999983"/>
    <n v="-7.0509988466751397E-2"/>
    <s v="under budget"/>
  </r>
  <r>
    <d v="2026-12-03T00:00:00"/>
    <x v="11"/>
    <x v="2"/>
    <x v="1"/>
    <n v="20311"/>
    <n v="18462.830000000002"/>
    <n v="-1848.1699999999983"/>
    <n v="-9.0993550292944619E-2"/>
    <s v="under budget"/>
  </r>
  <r>
    <d v="2026-12-04T00:00:00"/>
    <x v="11"/>
    <x v="4"/>
    <x v="1"/>
    <n v="20383"/>
    <n v="22057.39"/>
    <n v="1674.3899999999994"/>
    <n v="8.2146396506892969E-2"/>
    <s v="over budget"/>
  </r>
  <r>
    <d v="2026-12-05T00:00:00"/>
    <x v="11"/>
    <x v="7"/>
    <x v="1"/>
    <n v="21844"/>
    <n v="22221.01"/>
    <n v="377.0099999999984"/>
    <n v="1.7259201611426404E-2"/>
    <s v="over budget"/>
  </r>
  <r>
    <d v="2026-12-06T00:00:00"/>
    <x v="11"/>
    <x v="2"/>
    <x v="6"/>
    <n v="15487"/>
    <n v="15268.64"/>
    <n v="-218.36000000000058"/>
    <n v="-1.409956737909218E-2"/>
    <s v="under budget"/>
  </r>
  <r>
    <d v="2026-12-07T00:00:00"/>
    <x v="11"/>
    <x v="4"/>
    <x v="3"/>
    <n v="7901"/>
    <n v="7801.59"/>
    <n v="-99.409999999999854"/>
    <n v="-1.2581951651689641E-2"/>
    <s v="under budget"/>
  </r>
  <r>
    <d v="2026-12-08T00:00:00"/>
    <x v="11"/>
    <x v="3"/>
    <x v="4"/>
    <n v="27233"/>
    <n v="28443.91"/>
    <n v="1210.9099999999999"/>
    <n v="4.4464803730767812E-2"/>
    <s v="over budget"/>
  </r>
  <r>
    <d v="2026-12-09T00:00:00"/>
    <x v="11"/>
    <x v="6"/>
    <x v="0"/>
    <n v="52628"/>
    <n v="53428.43"/>
    <n v="800.43000000000029"/>
    <n v="1.5209204225887367E-2"/>
    <s v="over budget"/>
  </r>
  <r>
    <d v="2026-12-10T00:00:00"/>
    <x v="11"/>
    <x v="3"/>
    <x v="2"/>
    <n v="6052"/>
    <n v="6010.25"/>
    <n v="-41.75"/>
    <n v="-6.8985459352280242E-3"/>
    <s v="under budget"/>
  </r>
  <r>
    <d v="2026-12-11T00:00:00"/>
    <x v="11"/>
    <x v="1"/>
    <x v="6"/>
    <n v="19661"/>
    <n v="19044.43"/>
    <n v="-616.56999999999971"/>
    <n v="-3.136005289659731E-2"/>
    <s v="under budget"/>
  </r>
  <r>
    <d v="2026-12-12T00:00:00"/>
    <x v="11"/>
    <x v="7"/>
    <x v="2"/>
    <n v="3307"/>
    <n v="3192.28"/>
    <n v="-114.7199999999998"/>
    <n v="-3.4690051406108195E-2"/>
    <s v="under budget"/>
  </r>
  <r>
    <d v="2026-12-13T00:00:00"/>
    <x v="11"/>
    <x v="4"/>
    <x v="1"/>
    <n v="12644"/>
    <n v="13311.9"/>
    <n v="667.89999999999964"/>
    <n v="5.2823473584308736E-2"/>
    <s v="over budget"/>
  </r>
  <r>
    <d v="2026-12-14T00:00:00"/>
    <x v="11"/>
    <x v="6"/>
    <x v="3"/>
    <n v="8952"/>
    <n v="9303.34"/>
    <n v="351.34000000000015"/>
    <n v="3.9247095621090272E-2"/>
    <s v="over budget"/>
  </r>
  <r>
    <d v="2026-12-15T00:00:00"/>
    <x v="11"/>
    <x v="6"/>
    <x v="6"/>
    <n v="20050"/>
    <n v="20966.64"/>
    <n v="916.63999999999942"/>
    <n v="4.5717705735660821E-2"/>
    <s v="over budget"/>
  </r>
  <r>
    <d v="2026-12-16T00:00:00"/>
    <x v="11"/>
    <x v="8"/>
    <x v="1"/>
    <n v="13495"/>
    <n v="13717.49"/>
    <n v="222.48999999999978"/>
    <n v="1.6486846980363082E-2"/>
    <s v="over budget"/>
  </r>
  <r>
    <d v="2026-12-17T00:00:00"/>
    <x v="11"/>
    <x v="7"/>
    <x v="5"/>
    <n v="8154"/>
    <n v="8451.66"/>
    <n v="297.65999999999985"/>
    <n v="3.6504782928623969E-2"/>
    <s v="over budget"/>
  </r>
  <r>
    <d v="2026-12-18T00:00:00"/>
    <x v="11"/>
    <x v="8"/>
    <x v="1"/>
    <n v="19743"/>
    <n v="17985.04"/>
    <n v="-1757.9599999999991"/>
    <n v="-8.904219216937645E-2"/>
    <s v="under budget"/>
  </r>
  <r>
    <d v="2026-12-19T00:00:00"/>
    <x v="11"/>
    <x v="6"/>
    <x v="2"/>
    <n v="3908"/>
    <n v="3840.59"/>
    <n v="-67.409999999999854"/>
    <n v="-1.724923234390989E-2"/>
    <s v="under budget"/>
  </r>
  <r>
    <d v="2026-12-20T00:00:00"/>
    <x v="11"/>
    <x v="8"/>
    <x v="6"/>
    <n v="9490"/>
    <n v="8737.1299999999992"/>
    <n v="-752.8700000000008"/>
    <n v="-7.9332982086406822E-2"/>
    <s v="under budget"/>
  </r>
  <r>
    <d v="2026-12-21T00:00:00"/>
    <x v="11"/>
    <x v="7"/>
    <x v="5"/>
    <n v="7344"/>
    <n v="6667.38"/>
    <n v="-676.61999999999989"/>
    <n v="-9.2132352941176457E-2"/>
    <s v="under budget"/>
  </r>
  <r>
    <d v="2026-12-22T00:00:00"/>
    <x v="11"/>
    <x v="6"/>
    <x v="7"/>
    <n v="8638"/>
    <n v="9459.94"/>
    <n v="821.94000000000051"/>
    <n v="9.5153970826580281E-2"/>
    <s v="over budget"/>
  </r>
  <r>
    <d v="2026-12-23T00:00:00"/>
    <x v="11"/>
    <x v="6"/>
    <x v="4"/>
    <n v="31048"/>
    <n v="30020.81"/>
    <n v="-1027.1899999999987"/>
    <n v="-3.308393455295023E-2"/>
    <s v="under budget"/>
  </r>
  <r>
    <d v="2026-12-24T00:00:00"/>
    <x v="11"/>
    <x v="5"/>
    <x v="0"/>
    <n v="55819"/>
    <n v="58139.88"/>
    <n v="2320.8799999999974"/>
    <n v="4.1578673928232272E-2"/>
    <s v="over budget"/>
  </r>
  <r>
    <d v="2026-12-25T00:00:00"/>
    <x v="11"/>
    <x v="2"/>
    <x v="2"/>
    <n v="6985"/>
    <n v="7363.52"/>
    <n v="378.52000000000044"/>
    <n v="5.4190408017179732E-2"/>
    <s v="over budget"/>
  </r>
  <r>
    <d v="2026-12-26T00:00:00"/>
    <x v="11"/>
    <x v="5"/>
    <x v="5"/>
    <n v="6351"/>
    <n v="6505.5"/>
    <n v="154.5"/>
    <n v="2.4326877657061881E-2"/>
    <s v="over budget"/>
  </r>
  <r>
    <d v="2026-12-27T00:00:00"/>
    <x v="11"/>
    <x v="4"/>
    <x v="4"/>
    <n v="25123"/>
    <n v="27307.47"/>
    <n v="2184.4700000000012"/>
    <n v="8.6951001074712458E-2"/>
    <s v="over budget"/>
  </r>
  <r>
    <d v="2026-12-28T00:00:00"/>
    <x v="11"/>
    <x v="7"/>
    <x v="6"/>
    <n v="20534"/>
    <n v="22518.17"/>
    <n v="1984.1699999999983"/>
    <n v="9.6628518554592299E-2"/>
    <s v="over budget"/>
  </r>
  <r>
    <d v="2026-12-29T00:00:00"/>
    <x v="11"/>
    <x v="5"/>
    <x v="3"/>
    <n v="5554"/>
    <n v="5182.2299999999996"/>
    <n v="-371.77000000000044"/>
    <n v="-6.6937342455887727E-2"/>
    <s v="under budget"/>
  </r>
  <r>
    <d v="2026-12-30T00:00:00"/>
    <x v="11"/>
    <x v="2"/>
    <x v="2"/>
    <n v="2848"/>
    <n v="2916.55"/>
    <n v="68.550000000000182"/>
    <n v="2.4069522471910177E-2"/>
    <s v="over budge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33E7299-6C12-4AD3-9D69-6C47F2B35CCD}" name="PivotTable6"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5:B45" firstHeaderRow="1" firstDataRow="1" firstDataCol="1"/>
  <pivotFields count="9">
    <pivotField numFmtId="14" showAll="0"/>
    <pivotField showAll="0">
      <items count="13">
        <item x="0"/>
        <item x="1"/>
        <item x="2"/>
        <item x="3"/>
        <item x="4"/>
        <item x="5"/>
        <item x="6"/>
        <item x="7"/>
        <item x="8"/>
        <item x="9"/>
        <item x="10"/>
        <item x="11"/>
        <item t="default"/>
      </items>
    </pivotField>
    <pivotField axis="axisRow" showAll="0">
      <items count="10">
        <item x="8"/>
        <item x="5"/>
        <item x="6"/>
        <item x="0"/>
        <item x="4"/>
        <item x="2"/>
        <item x="7"/>
        <item x="3"/>
        <item x="1"/>
        <item t="default"/>
      </items>
    </pivotField>
    <pivotField showAll="0"/>
    <pivotField dataField="1" numFmtId="44" showAll="0"/>
    <pivotField numFmtId="44" showAll="0"/>
    <pivotField numFmtId="44" showAll="0"/>
    <pivotField numFmtId="9" showAll="0"/>
    <pivotField showAll="0"/>
  </pivotFields>
  <rowFields count="1">
    <field x="2"/>
  </rowFields>
  <rowItems count="10">
    <i>
      <x/>
    </i>
    <i>
      <x v="1"/>
    </i>
    <i>
      <x v="2"/>
    </i>
    <i>
      <x v="3"/>
    </i>
    <i>
      <x v="4"/>
    </i>
    <i>
      <x v="5"/>
    </i>
    <i>
      <x v="6"/>
    </i>
    <i>
      <x v="7"/>
    </i>
    <i>
      <x v="8"/>
    </i>
    <i t="grand">
      <x/>
    </i>
  </rowItems>
  <colItems count="1">
    <i/>
  </colItems>
  <dataFields count="1">
    <dataField name="Sum of Budget" fld="4" baseField="0" baseItem="0" numFmtId="44"/>
  </dataFields>
  <chartFormats count="11">
    <chartFormat chart="3" format="0" series="1">
      <pivotArea type="data" outline="0" fieldPosition="0">
        <references count="1">
          <reference field="4294967294" count="1" selected="0">
            <x v="0"/>
          </reference>
        </references>
      </pivotArea>
    </chartFormat>
    <chartFormat chart="5" format="11" series="1">
      <pivotArea type="data" outline="0" fieldPosition="0">
        <references count="1">
          <reference field="4294967294" count="1" selected="0">
            <x v="0"/>
          </reference>
        </references>
      </pivotArea>
    </chartFormat>
    <chartFormat chart="5" format="12">
      <pivotArea type="data" outline="0" fieldPosition="0">
        <references count="2">
          <reference field="4294967294" count="1" selected="0">
            <x v="0"/>
          </reference>
          <reference field="2" count="1" selected="0">
            <x v="0"/>
          </reference>
        </references>
      </pivotArea>
    </chartFormat>
    <chartFormat chart="5" format="13">
      <pivotArea type="data" outline="0" fieldPosition="0">
        <references count="2">
          <reference field="4294967294" count="1" selected="0">
            <x v="0"/>
          </reference>
          <reference field="2" count="1" selected="0">
            <x v="1"/>
          </reference>
        </references>
      </pivotArea>
    </chartFormat>
    <chartFormat chart="5" format="14">
      <pivotArea type="data" outline="0" fieldPosition="0">
        <references count="2">
          <reference field="4294967294" count="1" selected="0">
            <x v="0"/>
          </reference>
          <reference field="2" count="1" selected="0">
            <x v="2"/>
          </reference>
        </references>
      </pivotArea>
    </chartFormat>
    <chartFormat chart="5" format="15">
      <pivotArea type="data" outline="0" fieldPosition="0">
        <references count="2">
          <reference field="4294967294" count="1" selected="0">
            <x v="0"/>
          </reference>
          <reference field="2" count="1" selected="0">
            <x v="3"/>
          </reference>
        </references>
      </pivotArea>
    </chartFormat>
    <chartFormat chart="5" format="16">
      <pivotArea type="data" outline="0" fieldPosition="0">
        <references count="2">
          <reference field="4294967294" count="1" selected="0">
            <x v="0"/>
          </reference>
          <reference field="2" count="1" selected="0">
            <x v="4"/>
          </reference>
        </references>
      </pivotArea>
    </chartFormat>
    <chartFormat chart="5" format="17">
      <pivotArea type="data" outline="0" fieldPosition="0">
        <references count="2">
          <reference field="4294967294" count="1" selected="0">
            <x v="0"/>
          </reference>
          <reference field="2" count="1" selected="0">
            <x v="5"/>
          </reference>
        </references>
      </pivotArea>
    </chartFormat>
    <chartFormat chart="5" format="18">
      <pivotArea type="data" outline="0" fieldPosition="0">
        <references count="2">
          <reference field="4294967294" count="1" selected="0">
            <x v="0"/>
          </reference>
          <reference field="2" count="1" selected="0">
            <x v="6"/>
          </reference>
        </references>
      </pivotArea>
    </chartFormat>
    <chartFormat chart="5" format="19">
      <pivotArea type="data" outline="0" fieldPosition="0">
        <references count="2">
          <reference field="4294967294" count="1" selected="0">
            <x v="0"/>
          </reference>
          <reference field="2" count="1" selected="0">
            <x v="7"/>
          </reference>
        </references>
      </pivotArea>
    </chartFormat>
    <chartFormat chart="5" format="20">
      <pivotArea type="data" outline="0" fieldPosition="0">
        <references count="2">
          <reference field="4294967294" count="1" selected="0">
            <x v="0"/>
          </reference>
          <reference field="2"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B6232A-12FD-494D-9189-E35AC922F2FA}" name="PivotTable1"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11" firstHeaderRow="0" firstDataRow="1" firstDataCol="1"/>
  <pivotFields count="9">
    <pivotField numFmtId="14" showAll="0"/>
    <pivotField showAll="0">
      <items count="13">
        <item x="0"/>
        <item x="1"/>
        <item x="2"/>
        <item x="3"/>
        <item x="4"/>
        <item x="5"/>
        <item x="6"/>
        <item x="7"/>
        <item x="8"/>
        <item x="9"/>
        <item x="10"/>
        <item x="11"/>
        <item t="default"/>
      </items>
    </pivotField>
    <pivotField axis="axisRow" showAll="0">
      <items count="10">
        <item x="0"/>
        <item x="2"/>
        <item x="3"/>
        <item x="1"/>
        <item x="4"/>
        <item x="5"/>
        <item x="6"/>
        <item x="7"/>
        <item x="8"/>
        <item t="default"/>
      </items>
    </pivotField>
    <pivotField showAll="0"/>
    <pivotField dataField="1" numFmtId="44" showAll="0"/>
    <pivotField dataField="1" numFmtId="44" showAll="0"/>
    <pivotField dataField="1" numFmtId="44" showAll="0"/>
    <pivotField numFmtId="9" showAll="0"/>
    <pivotField showAll="0"/>
  </pivotFields>
  <rowFields count="1">
    <field x="2"/>
  </rowFields>
  <rowItems count="10">
    <i>
      <x/>
    </i>
    <i>
      <x v="1"/>
    </i>
    <i>
      <x v="2"/>
    </i>
    <i>
      <x v="3"/>
    </i>
    <i>
      <x v="4"/>
    </i>
    <i>
      <x v="5"/>
    </i>
    <i>
      <x v="6"/>
    </i>
    <i>
      <x v="7"/>
    </i>
    <i>
      <x v="8"/>
    </i>
    <i t="grand">
      <x/>
    </i>
  </rowItems>
  <colFields count="1">
    <field x="-2"/>
  </colFields>
  <colItems count="3">
    <i>
      <x/>
    </i>
    <i i="1">
      <x v="1"/>
    </i>
    <i i="2">
      <x v="2"/>
    </i>
  </colItems>
  <dataFields count="3">
    <dataField name="Sum of Budget" fld="4" baseField="0" baseItem="0" numFmtId="5"/>
    <dataField name="Sum of Actual" fld="5" baseField="0" baseItem="0" numFmtId="44"/>
    <dataField name="Sum of Variance" fld="6" baseField="0" baseItem="0" numFmtId="44"/>
  </dataFields>
  <chartFormats count="3">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A2FF62-F353-4D46-9BFC-964062A96BF5}" name="PivotTable8"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F1:G10" firstHeaderRow="1" firstDataRow="1" firstDataCol="1"/>
  <pivotFields count="9">
    <pivotField numFmtId="14" showAll="0"/>
    <pivotField showAll="0">
      <items count="13">
        <item x="0"/>
        <item x="1"/>
        <item x="2"/>
        <item x="3"/>
        <item x="4"/>
        <item x="5"/>
        <item x="6"/>
        <item x="7"/>
        <item x="8"/>
        <item x="9"/>
        <item x="10"/>
        <item x="11"/>
        <item t="default"/>
      </items>
    </pivotField>
    <pivotField showAll="0">
      <items count="10">
        <item x="8"/>
        <item x="5"/>
        <item x="6"/>
        <item x="0"/>
        <item x="4"/>
        <item x="2"/>
        <item x="7"/>
        <item x="3"/>
        <item x="1"/>
        <item t="default"/>
      </items>
    </pivotField>
    <pivotField axis="axisRow" showAll="0">
      <items count="9">
        <item x="4"/>
        <item x="5"/>
        <item x="7"/>
        <item x="6"/>
        <item x="0"/>
        <item x="1"/>
        <item x="3"/>
        <item x="2"/>
        <item t="default"/>
      </items>
    </pivotField>
    <pivotField numFmtId="44" showAll="0"/>
    <pivotField numFmtId="44" showAll="0"/>
    <pivotField dataField="1" numFmtId="44" showAll="0"/>
    <pivotField numFmtId="9" showAll="0"/>
    <pivotField showAll="0"/>
  </pivotFields>
  <rowFields count="1">
    <field x="3"/>
  </rowFields>
  <rowItems count="9">
    <i>
      <x/>
    </i>
    <i>
      <x v="1"/>
    </i>
    <i>
      <x v="2"/>
    </i>
    <i>
      <x v="3"/>
    </i>
    <i>
      <x v="4"/>
    </i>
    <i>
      <x v="5"/>
    </i>
    <i>
      <x v="6"/>
    </i>
    <i>
      <x v="7"/>
    </i>
    <i t="grand">
      <x/>
    </i>
  </rowItems>
  <colItems count="1">
    <i/>
  </colItems>
  <dataFields count="1">
    <dataField name="Sum of Variance" fld="6" baseField="3" baseItem="0" numFmtId="44"/>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E3E275A-91DD-42AB-BBA7-B29F008BFC38}" name="PivotTable3" cacheId="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5:C28" firstHeaderRow="0" firstDataRow="1" firstDataCol="1"/>
  <pivotFields count="9">
    <pivotField numFmtId="14" showAll="0"/>
    <pivotField axis="axisRow" showAll="0">
      <items count="13">
        <item x="0"/>
        <item x="1"/>
        <item x="2"/>
        <item x="3"/>
        <item x="4"/>
        <item x="5"/>
        <item x="6"/>
        <item x="7"/>
        <item x="8"/>
        <item x="9"/>
        <item x="10"/>
        <item x="11"/>
        <item t="default"/>
      </items>
    </pivotField>
    <pivotField showAll="0">
      <items count="10">
        <item x="8"/>
        <item x="5"/>
        <item x="6"/>
        <item x="0"/>
        <item x="4"/>
        <item x="2"/>
        <item x="7"/>
        <item x="3"/>
        <item x="1"/>
        <item t="default"/>
      </items>
    </pivotField>
    <pivotField showAll="0"/>
    <pivotField dataField="1" numFmtId="44" showAll="0"/>
    <pivotField dataField="1" numFmtId="44" showAll="0"/>
    <pivotField numFmtId="44" showAll="0"/>
    <pivotField numFmtId="9"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Sum of Budget" fld="4" baseField="0" baseItem="0" numFmtId="44"/>
    <dataField name="Sum of Actual" fld="5" baseField="0" baseItem="0" numFmtId="44"/>
  </dataFields>
  <chartFormats count="4">
    <chartFormat chart="10"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B8CE81D-8211-429E-8B54-D436C13A0380}" sourceName="Department">
  <pivotTables>
    <pivotTable tabId="4" name="PivotTable1"/>
    <pivotTable tabId="4" name="PivotTable3"/>
    <pivotTable tabId="4" name="PivotTable6"/>
    <pivotTable tabId="4" name="PivotTable8"/>
  </pivotTables>
  <data>
    <tabular pivotCacheId="1868047831">
      <items count="9">
        <i x="8" s="1"/>
        <i x="5" s="1"/>
        <i x="6" s="1"/>
        <i x="0" s="1"/>
        <i x="4" s="1"/>
        <i x="2" s="1"/>
        <i x="7"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7D611641-B6ED-4C8B-B639-D64764C44414}" sourceName="Month">
  <pivotTables>
    <pivotTable tabId="4" name="PivotTable1"/>
    <pivotTable tabId="4" name="PivotTable3"/>
    <pivotTable tabId="4" name="PivotTable6"/>
    <pivotTable tabId="4" name="PivotTable8"/>
  </pivotTables>
  <data>
    <tabular pivotCacheId="1868047831">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137AF2D-4ADB-4E05-8DD1-E5A87188F489}" cache="Slicer_Department" caption="Department" rowHeight="257175"/>
  <slicer name="Month" xr10:uid="{36031A9D-697C-40F2-8921-A075929C3313}" cache="Slicer_Month" caption="Mont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58517E4-3FBE-4CCE-843C-A6CFDF53F29C}" name="FinancialData" displayName="FinancialData" ref="A1:I366" totalsRowShown="0">
  <autoFilter ref="A1:I366" xr:uid="{D58517E4-3FBE-4CCE-843C-A6CFDF53F29C}"/>
  <tableColumns count="9">
    <tableColumn id="1" xr3:uid="{5BA5B005-A916-4B7A-9BDF-29B910F7F3BF}" name="Date" dataDxfId="6"/>
    <tableColumn id="2" xr3:uid="{B19ACCF7-B7B6-407F-B1B3-62C657D974D5}" name="Month"/>
    <tableColumn id="3" xr3:uid="{C0B6296D-DD62-43CB-9AFF-F030F331A423}" name="Department"/>
    <tableColumn id="4" xr3:uid="{289C1723-404E-4B09-88E8-3897B84B415A}" name="Expense Category"/>
    <tableColumn id="5" xr3:uid="{46917932-86C6-496B-84E3-8AD01D993D1F}" name="Budget" dataDxfId="5" dataCellStyle="Currency"/>
    <tableColumn id="6" xr3:uid="{D9F219D2-9104-4FA1-B6AC-9DAEB875ABCF}" name="Actual" dataDxfId="4" dataCellStyle="Currency"/>
    <tableColumn id="7" xr3:uid="{739AEE9A-A387-4B4B-A7FC-085695630713}" name="Variance" dataDxfId="3">
      <calculatedColumnFormula>F2-E2</calculatedColumnFormula>
    </tableColumn>
    <tableColumn id="8" xr3:uid="{D72389B0-C074-4FB3-8935-3E3D54816DC1}" name="Variance %" dataCellStyle="Percent">
      <calculatedColumnFormula>IFERROR(G2/E2,0)</calculatedColumnFormula>
    </tableColumn>
    <tableColumn id="9" xr3:uid="{7133CAA0-10FD-4A92-B810-302AF45980CB}" name="Status" dataDxfId="2">
      <calculatedColumnFormula>IF(G2&gt;0,"over budget","under budget")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590F7-2497-4582-9FA0-5345E0EF9BC8}">
  <dimension ref="A1:I366"/>
  <sheetViews>
    <sheetView workbookViewId="0">
      <selection activeCell="O330" sqref="O330"/>
    </sheetView>
  </sheetViews>
  <sheetFormatPr defaultRowHeight="15" x14ac:dyDescent="0.25"/>
  <cols>
    <col min="1" max="1" width="10.7109375" bestFit="1" customWidth="1"/>
    <col min="2" max="2" width="10.85546875" bestFit="1" customWidth="1"/>
    <col min="3" max="3" width="18.85546875" bestFit="1" customWidth="1"/>
    <col min="4" max="4" width="19.42578125" customWidth="1"/>
    <col min="5" max="6" width="12.5703125" bestFit="1" customWidth="1"/>
    <col min="7" max="7" width="12.28515625" bestFit="1" customWidth="1"/>
    <col min="8" max="8" width="13" bestFit="1" customWidth="1"/>
    <col min="9" max="9" width="12.5703125" bestFit="1" customWidth="1"/>
  </cols>
  <sheetData>
    <row r="1" spans="1:9" x14ac:dyDescent="0.25">
      <c r="A1" t="s">
        <v>31</v>
      </c>
      <c r="B1" t="s">
        <v>18</v>
      </c>
      <c r="C1" t="s">
        <v>0</v>
      </c>
      <c r="D1" t="s">
        <v>9</v>
      </c>
      <c r="E1" t="s">
        <v>32</v>
      </c>
      <c r="F1" t="s">
        <v>33</v>
      </c>
      <c r="G1" t="s">
        <v>35</v>
      </c>
      <c r="H1" t="s">
        <v>36</v>
      </c>
      <c r="I1" t="s">
        <v>37</v>
      </c>
    </row>
    <row r="2" spans="1:9" x14ac:dyDescent="0.25">
      <c r="A2" s="2">
        <v>46027</v>
      </c>
      <c r="B2" t="s">
        <v>19</v>
      </c>
      <c r="C2" t="s">
        <v>34</v>
      </c>
      <c r="D2" t="s">
        <v>10</v>
      </c>
      <c r="E2" s="3">
        <v>50000</v>
      </c>
      <c r="F2" s="3">
        <v>51500</v>
      </c>
      <c r="G2" s="4">
        <f t="shared" ref="G2:G6" si="0">F2-E2</f>
        <v>1500</v>
      </c>
      <c r="H2" s="5">
        <f t="shared" ref="H2:H6" si="1">IFERROR(G2/E2,0)</f>
        <v>0.03</v>
      </c>
      <c r="I2" t="str">
        <f t="shared" ref="I2:I6" si="2">IF(G2&gt;0,"over budget","under budget")</f>
        <v>over budget</v>
      </c>
    </row>
    <row r="3" spans="1:9" x14ac:dyDescent="0.25">
      <c r="A3" s="2">
        <v>46030</v>
      </c>
      <c r="B3" t="s">
        <v>19</v>
      </c>
      <c r="C3" t="s">
        <v>34</v>
      </c>
      <c r="D3" t="s">
        <v>14</v>
      </c>
      <c r="E3" s="3">
        <v>7000</v>
      </c>
      <c r="F3" s="3">
        <v>6200</v>
      </c>
      <c r="G3" s="4">
        <f t="shared" si="0"/>
        <v>-800</v>
      </c>
      <c r="H3" s="5">
        <f t="shared" si="1"/>
        <v>-0.11428571428571428</v>
      </c>
      <c r="I3" t="str">
        <f t="shared" si="2"/>
        <v>under budget</v>
      </c>
    </row>
    <row r="4" spans="1:9" x14ac:dyDescent="0.25">
      <c r="A4" s="2">
        <v>46032</v>
      </c>
      <c r="B4" t="s">
        <v>19</v>
      </c>
      <c r="C4" t="s">
        <v>3</v>
      </c>
      <c r="D4" t="s">
        <v>12</v>
      </c>
      <c r="E4" s="3">
        <v>4500</v>
      </c>
      <c r="F4" s="3">
        <v>6100</v>
      </c>
      <c r="G4" s="4">
        <f t="shared" si="0"/>
        <v>1600</v>
      </c>
      <c r="H4" s="5">
        <f t="shared" si="1"/>
        <v>0.35555555555555557</v>
      </c>
      <c r="I4" t="str">
        <f t="shared" si="2"/>
        <v>over budget</v>
      </c>
    </row>
    <row r="5" spans="1:9" x14ac:dyDescent="0.25">
      <c r="A5" s="2">
        <v>46037</v>
      </c>
      <c r="B5" t="s">
        <v>19</v>
      </c>
      <c r="C5" t="s">
        <v>8</v>
      </c>
      <c r="D5" t="s">
        <v>15</v>
      </c>
      <c r="E5" s="3">
        <v>3000</v>
      </c>
      <c r="F5" s="3">
        <v>2200</v>
      </c>
      <c r="G5" s="4">
        <f t="shared" si="0"/>
        <v>-800</v>
      </c>
      <c r="H5" s="5">
        <f t="shared" si="1"/>
        <v>-0.26666666666666666</v>
      </c>
      <c r="I5" t="str">
        <f t="shared" si="2"/>
        <v>under budget</v>
      </c>
    </row>
    <row r="6" spans="1:9" x14ac:dyDescent="0.25">
      <c r="A6" s="2">
        <v>46042</v>
      </c>
      <c r="B6" t="s">
        <v>19</v>
      </c>
      <c r="C6" t="s">
        <v>6</v>
      </c>
      <c r="D6" t="s">
        <v>14</v>
      </c>
      <c r="E6" s="3">
        <v>12000</v>
      </c>
      <c r="F6" s="3">
        <v>11300</v>
      </c>
      <c r="G6" s="4">
        <f t="shared" si="0"/>
        <v>-700</v>
      </c>
      <c r="H6" s="5">
        <f t="shared" si="1"/>
        <v>-5.8333333333333334E-2</v>
      </c>
      <c r="I6" t="str">
        <f t="shared" si="2"/>
        <v>under budget</v>
      </c>
    </row>
    <row r="7" spans="1:9" ht="30" x14ac:dyDescent="0.25">
      <c r="A7" s="15">
        <v>46043</v>
      </c>
      <c r="B7" s="16" t="s">
        <v>19</v>
      </c>
      <c r="C7" s="16" t="s">
        <v>1</v>
      </c>
      <c r="D7" s="16" t="s">
        <v>10</v>
      </c>
      <c r="E7" s="17">
        <v>125000</v>
      </c>
      <c r="F7" s="17">
        <v>127500</v>
      </c>
      <c r="G7" s="4">
        <f t="shared" ref="G7:G36" si="3">F7-E7</f>
        <v>2500</v>
      </c>
      <c r="H7" s="5">
        <f t="shared" ref="H7:H36" si="4">IFERROR(G7/E7,0)</f>
        <v>0.02</v>
      </c>
      <c r="I7" t="str">
        <f t="shared" ref="I7:I36" si="5">IF(G7&gt;0,"over budget","under budget")</f>
        <v>over budget</v>
      </c>
    </row>
    <row r="8" spans="1:9" ht="30" x14ac:dyDescent="0.25">
      <c r="A8" s="15">
        <v>46043</v>
      </c>
      <c r="B8" s="16" t="s">
        <v>19</v>
      </c>
      <c r="C8" s="16" t="s">
        <v>1</v>
      </c>
      <c r="D8" s="16" t="s">
        <v>11</v>
      </c>
      <c r="E8" s="17">
        <v>42000</v>
      </c>
      <c r="F8" s="17">
        <v>40500</v>
      </c>
      <c r="G8" s="4">
        <f t="shared" si="3"/>
        <v>-1500</v>
      </c>
      <c r="H8" s="5">
        <f t="shared" si="4"/>
        <v>-3.5714285714285712E-2</v>
      </c>
      <c r="I8" t="str">
        <f t="shared" si="5"/>
        <v>under budget</v>
      </c>
    </row>
    <row r="9" spans="1:9" ht="30" x14ac:dyDescent="0.25">
      <c r="A9" s="15">
        <v>46044</v>
      </c>
      <c r="B9" s="16" t="s">
        <v>19</v>
      </c>
      <c r="C9" s="16" t="s">
        <v>1</v>
      </c>
      <c r="D9" s="16" t="s">
        <v>12</v>
      </c>
      <c r="E9" s="17">
        <v>8500</v>
      </c>
      <c r="F9" s="17">
        <v>9200</v>
      </c>
      <c r="G9" s="4">
        <f t="shared" si="3"/>
        <v>700</v>
      </c>
      <c r="H9" s="5">
        <f t="shared" si="4"/>
        <v>8.2352941176470587E-2</v>
      </c>
      <c r="I9" t="str">
        <f t="shared" si="5"/>
        <v>over budget</v>
      </c>
    </row>
    <row r="10" spans="1:9" ht="30" x14ac:dyDescent="0.25">
      <c r="A10" s="15">
        <v>46044</v>
      </c>
      <c r="B10" s="16" t="s">
        <v>19</v>
      </c>
      <c r="C10" s="16" t="s">
        <v>1</v>
      </c>
      <c r="D10" s="16" t="s">
        <v>14</v>
      </c>
      <c r="E10" s="17">
        <v>15000</v>
      </c>
      <c r="F10" s="17">
        <v>14700</v>
      </c>
      <c r="G10" s="4">
        <f t="shared" si="3"/>
        <v>-300</v>
      </c>
      <c r="H10" s="5">
        <f t="shared" si="4"/>
        <v>-0.02</v>
      </c>
      <c r="I10" t="str">
        <f t="shared" si="5"/>
        <v>under budget</v>
      </c>
    </row>
    <row r="11" spans="1:9" ht="30" x14ac:dyDescent="0.25">
      <c r="A11" s="15">
        <v>46045</v>
      </c>
      <c r="B11" s="16" t="s">
        <v>19</v>
      </c>
      <c r="C11" s="16" t="s">
        <v>2</v>
      </c>
      <c r="D11" s="16" t="s">
        <v>10</v>
      </c>
      <c r="E11" s="17">
        <v>95000</v>
      </c>
      <c r="F11" s="17">
        <v>93200</v>
      </c>
      <c r="G11" s="4">
        <f t="shared" si="3"/>
        <v>-1800</v>
      </c>
      <c r="H11" s="5">
        <f t="shared" si="4"/>
        <v>-1.8947368421052633E-2</v>
      </c>
      <c r="I11" t="str">
        <f t="shared" si="5"/>
        <v>under budget</v>
      </c>
    </row>
    <row r="12" spans="1:9" ht="30" x14ac:dyDescent="0.25">
      <c r="A12" s="15">
        <v>46045</v>
      </c>
      <c r="B12" s="16" t="s">
        <v>19</v>
      </c>
      <c r="C12" s="16" t="s">
        <v>2</v>
      </c>
      <c r="D12" s="16" t="s">
        <v>11</v>
      </c>
      <c r="E12" s="17">
        <v>28000</v>
      </c>
      <c r="F12" s="17">
        <v>30100</v>
      </c>
      <c r="G12" s="4">
        <f t="shared" si="3"/>
        <v>2100</v>
      </c>
      <c r="H12" s="5">
        <f t="shared" si="4"/>
        <v>7.4999999999999997E-2</v>
      </c>
      <c r="I12" t="str">
        <f t="shared" si="5"/>
        <v>over budget</v>
      </c>
    </row>
    <row r="13" spans="1:9" ht="30" x14ac:dyDescent="0.25">
      <c r="A13" s="15">
        <v>46046</v>
      </c>
      <c r="B13" s="16" t="s">
        <v>19</v>
      </c>
      <c r="C13" s="16" t="s">
        <v>2</v>
      </c>
      <c r="D13" s="16" t="s">
        <v>16</v>
      </c>
      <c r="E13" s="17">
        <v>9000</v>
      </c>
      <c r="F13" s="17">
        <v>8100</v>
      </c>
      <c r="G13" s="4">
        <f t="shared" si="3"/>
        <v>-900</v>
      </c>
      <c r="H13" s="5">
        <f t="shared" si="4"/>
        <v>-0.1</v>
      </c>
      <c r="I13" t="str">
        <f t="shared" si="5"/>
        <v>under budget</v>
      </c>
    </row>
    <row r="14" spans="1:9" ht="30" x14ac:dyDescent="0.25">
      <c r="A14" s="15">
        <v>46046</v>
      </c>
      <c r="B14" s="16" t="s">
        <v>19</v>
      </c>
      <c r="C14" s="16" t="s">
        <v>2</v>
      </c>
      <c r="D14" s="16" t="s">
        <v>15</v>
      </c>
      <c r="E14" s="17">
        <v>5000</v>
      </c>
      <c r="F14" s="17">
        <v>4700</v>
      </c>
      <c r="G14" s="4">
        <f t="shared" si="3"/>
        <v>-300</v>
      </c>
      <c r="H14" s="5">
        <f t="shared" si="4"/>
        <v>-0.06</v>
      </c>
      <c r="I14" t="str">
        <f t="shared" si="5"/>
        <v>under budget</v>
      </c>
    </row>
    <row r="15" spans="1:9" x14ac:dyDescent="0.25">
      <c r="A15" s="15">
        <v>46047</v>
      </c>
      <c r="B15" s="16" t="s">
        <v>19</v>
      </c>
      <c r="C15" s="16" t="s">
        <v>3</v>
      </c>
      <c r="D15" s="16" t="s">
        <v>10</v>
      </c>
      <c r="E15" s="17">
        <v>68000</v>
      </c>
      <c r="F15" s="17">
        <v>69200</v>
      </c>
      <c r="G15" s="4">
        <f t="shared" si="3"/>
        <v>1200</v>
      </c>
      <c r="H15" s="5">
        <f t="shared" si="4"/>
        <v>1.7647058823529412E-2</v>
      </c>
      <c r="I15" t="str">
        <f t="shared" si="5"/>
        <v>over budget</v>
      </c>
    </row>
    <row r="16" spans="1:9" x14ac:dyDescent="0.25">
      <c r="A16" s="15">
        <v>46047</v>
      </c>
      <c r="B16" s="16" t="s">
        <v>19</v>
      </c>
      <c r="C16" s="16" t="s">
        <v>3</v>
      </c>
      <c r="D16" s="16" t="s">
        <v>17</v>
      </c>
      <c r="E16" s="17">
        <v>16000</v>
      </c>
      <c r="F16" s="17">
        <v>17500</v>
      </c>
      <c r="G16" s="4">
        <f t="shared" si="3"/>
        <v>1500</v>
      </c>
      <c r="H16" s="5">
        <f t="shared" si="4"/>
        <v>9.375E-2</v>
      </c>
      <c r="I16" t="str">
        <f t="shared" si="5"/>
        <v>over budget</v>
      </c>
    </row>
    <row r="17" spans="1:9" x14ac:dyDescent="0.25">
      <c r="A17" s="15">
        <v>46047</v>
      </c>
      <c r="B17" s="16" t="s">
        <v>19</v>
      </c>
      <c r="C17" s="16" t="s">
        <v>3</v>
      </c>
      <c r="D17" s="16" t="s">
        <v>14</v>
      </c>
      <c r="E17" s="17">
        <v>9000</v>
      </c>
      <c r="F17" s="17">
        <v>8700</v>
      </c>
      <c r="G17" s="4">
        <f t="shared" si="3"/>
        <v>-300</v>
      </c>
      <c r="H17" s="5">
        <f t="shared" si="4"/>
        <v>-3.3333333333333333E-2</v>
      </c>
      <c r="I17" t="str">
        <f t="shared" si="5"/>
        <v>under budget</v>
      </c>
    </row>
    <row r="18" spans="1:9" x14ac:dyDescent="0.25">
      <c r="A18" s="15">
        <v>46048</v>
      </c>
      <c r="B18" s="16" t="s">
        <v>19</v>
      </c>
      <c r="C18" s="16" t="s">
        <v>5</v>
      </c>
      <c r="D18" s="16" t="s">
        <v>10</v>
      </c>
      <c r="E18" s="17">
        <v>52000</v>
      </c>
      <c r="F18" s="17">
        <v>52800</v>
      </c>
      <c r="G18" s="4">
        <f t="shared" si="3"/>
        <v>800</v>
      </c>
      <c r="H18" s="5">
        <f t="shared" si="4"/>
        <v>1.5384615384615385E-2</v>
      </c>
      <c r="I18" t="str">
        <f t="shared" si="5"/>
        <v>over budget</v>
      </c>
    </row>
    <row r="19" spans="1:9" x14ac:dyDescent="0.25">
      <c r="A19" s="15">
        <v>46048</v>
      </c>
      <c r="B19" s="16" t="s">
        <v>19</v>
      </c>
      <c r="C19" s="16" t="s">
        <v>5</v>
      </c>
      <c r="D19" s="16" t="s">
        <v>13</v>
      </c>
      <c r="E19" s="17">
        <v>3000</v>
      </c>
      <c r="F19" s="17">
        <v>2600</v>
      </c>
      <c r="G19" s="4">
        <f t="shared" si="3"/>
        <v>-400</v>
      </c>
      <c r="H19" s="5">
        <f t="shared" si="4"/>
        <v>-0.13333333333333333</v>
      </c>
      <c r="I19" t="str">
        <f t="shared" si="5"/>
        <v>under budget</v>
      </c>
    </row>
    <row r="20" spans="1:9" x14ac:dyDescent="0.25">
      <c r="A20" s="15">
        <v>46048</v>
      </c>
      <c r="B20" s="16" t="s">
        <v>19</v>
      </c>
      <c r="C20" s="16" t="s">
        <v>5</v>
      </c>
      <c r="D20" s="16" t="s">
        <v>17</v>
      </c>
      <c r="E20" s="17">
        <v>14000</v>
      </c>
      <c r="F20" s="17">
        <v>13200</v>
      </c>
      <c r="G20" s="4">
        <f t="shared" si="3"/>
        <v>-800</v>
      </c>
      <c r="H20" s="5">
        <f t="shared" si="4"/>
        <v>-5.7142857142857141E-2</v>
      </c>
      <c r="I20" t="str">
        <f t="shared" si="5"/>
        <v>under budget</v>
      </c>
    </row>
    <row r="21" spans="1:9" ht="30" x14ac:dyDescent="0.25">
      <c r="A21" s="15">
        <v>46049</v>
      </c>
      <c r="B21" s="16" t="s">
        <v>19</v>
      </c>
      <c r="C21" s="16" t="s">
        <v>4</v>
      </c>
      <c r="D21" s="16" t="s">
        <v>10</v>
      </c>
      <c r="E21" s="17">
        <v>61000</v>
      </c>
      <c r="F21" s="17">
        <v>60500</v>
      </c>
      <c r="G21" s="4">
        <f t="shared" si="3"/>
        <v>-500</v>
      </c>
      <c r="H21" s="5">
        <f t="shared" si="4"/>
        <v>-8.1967213114754103E-3</v>
      </c>
      <c r="I21" t="str">
        <f t="shared" si="5"/>
        <v>under budget</v>
      </c>
    </row>
    <row r="22" spans="1:9" ht="30" x14ac:dyDescent="0.25">
      <c r="A22" s="15">
        <v>46049</v>
      </c>
      <c r="B22" s="16" t="s">
        <v>19</v>
      </c>
      <c r="C22" s="16" t="s">
        <v>4</v>
      </c>
      <c r="D22" s="16" t="s">
        <v>15</v>
      </c>
      <c r="E22" s="17">
        <v>4500</v>
      </c>
      <c r="F22" s="17">
        <v>5100</v>
      </c>
      <c r="G22" s="4">
        <f t="shared" si="3"/>
        <v>600</v>
      </c>
      <c r="H22" s="5">
        <f t="shared" si="4"/>
        <v>0.13333333333333333</v>
      </c>
      <c r="I22" t="str">
        <f t="shared" si="5"/>
        <v>over budget</v>
      </c>
    </row>
    <row r="23" spans="1:9" ht="30" x14ac:dyDescent="0.25">
      <c r="A23" s="15">
        <v>46049</v>
      </c>
      <c r="B23" s="16" t="s">
        <v>19</v>
      </c>
      <c r="C23" s="16" t="s">
        <v>4</v>
      </c>
      <c r="D23" s="16" t="s">
        <v>14</v>
      </c>
      <c r="E23" s="17">
        <v>8000</v>
      </c>
      <c r="F23" s="17">
        <v>7600</v>
      </c>
      <c r="G23" s="4">
        <f t="shared" si="3"/>
        <v>-400</v>
      </c>
      <c r="H23" s="5">
        <f t="shared" si="4"/>
        <v>-0.05</v>
      </c>
      <c r="I23" t="str">
        <f t="shared" si="5"/>
        <v>under budget</v>
      </c>
    </row>
    <row r="24" spans="1:9" x14ac:dyDescent="0.25">
      <c r="A24" s="15">
        <v>46050</v>
      </c>
      <c r="B24" s="16" t="s">
        <v>19</v>
      </c>
      <c r="C24" s="16" t="s">
        <v>6</v>
      </c>
      <c r="D24" s="16" t="s">
        <v>10</v>
      </c>
      <c r="E24" s="17">
        <v>108000</v>
      </c>
      <c r="F24" s="17">
        <v>110500</v>
      </c>
      <c r="G24" s="4">
        <f t="shared" si="3"/>
        <v>2500</v>
      </c>
      <c r="H24" s="5">
        <f t="shared" si="4"/>
        <v>2.3148148148148147E-2</v>
      </c>
      <c r="I24" t="str">
        <f t="shared" si="5"/>
        <v>over budget</v>
      </c>
    </row>
    <row r="25" spans="1:9" x14ac:dyDescent="0.25">
      <c r="A25" s="15">
        <v>46050</v>
      </c>
      <c r="B25" s="16" t="s">
        <v>19</v>
      </c>
      <c r="C25" s="16" t="s">
        <v>6</v>
      </c>
      <c r="D25" s="16" t="s">
        <v>14</v>
      </c>
      <c r="E25" s="17">
        <v>22000</v>
      </c>
      <c r="F25" s="17">
        <v>23500</v>
      </c>
      <c r="G25" s="4">
        <f t="shared" si="3"/>
        <v>1500</v>
      </c>
      <c r="H25" s="5">
        <f t="shared" si="4"/>
        <v>6.8181818181818177E-2</v>
      </c>
      <c r="I25" t="str">
        <f t="shared" si="5"/>
        <v>over budget</v>
      </c>
    </row>
    <row r="26" spans="1:9" x14ac:dyDescent="0.25">
      <c r="A26" s="15">
        <v>46050</v>
      </c>
      <c r="B26" s="16" t="s">
        <v>19</v>
      </c>
      <c r="C26" s="16" t="s">
        <v>6</v>
      </c>
      <c r="D26" s="16" t="s">
        <v>15</v>
      </c>
      <c r="E26" s="17">
        <v>6500</v>
      </c>
      <c r="F26" s="17">
        <v>6100</v>
      </c>
      <c r="G26" s="4">
        <f t="shared" si="3"/>
        <v>-400</v>
      </c>
      <c r="H26" s="5">
        <f t="shared" si="4"/>
        <v>-6.1538461538461542E-2</v>
      </c>
      <c r="I26" t="str">
        <f t="shared" si="5"/>
        <v>under budget</v>
      </c>
    </row>
    <row r="27" spans="1:9" x14ac:dyDescent="0.25">
      <c r="A27" s="15">
        <v>46051</v>
      </c>
      <c r="B27" s="16" t="s">
        <v>19</v>
      </c>
      <c r="C27" s="16" t="s">
        <v>7</v>
      </c>
      <c r="D27" s="16" t="s">
        <v>10</v>
      </c>
      <c r="E27" s="17">
        <v>59000</v>
      </c>
      <c r="F27" s="17">
        <v>58400</v>
      </c>
      <c r="G27" s="4">
        <f t="shared" si="3"/>
        <v>-600</v>
      </c>
      <c r="H27" s="5">
        <f t="shared" si="4"/>
        <v>-1.0169491525423728E-2</v>
      </c>
      <c r="I27" t="str">
        <f t="shared" si="5"/>
        <v>under budget</v>
      </c>
    </row>
    <row r="28" spans="1:9" x14ac:dyDescent="0.25">
      <c r="A28" s="15">
        <v>46051</v>
      </c>
      <c r="B28" s="16" t="s">
        <v>19</v>
      </c>
      <c r="C28" s="16" t="s">
        <v>7</v>
      </c>
      <c r="D28" s="16" t="s">
        <v>17</v>
      </c>
      <c r="E28" s="17">
        <v>12500</v>
      </c>
      <c r="F28" s="17">
        <v>13000</v>
      </c>
      <c r="G28" s="4">
        <f t="shared" si="3"/>
        <v>500</v>
      </c>
      <c r="H28" s="5">
        <f t="shared" si="4"/>
        <v>0.04</v>
      </c>
      <c r="I28" t="str">
        <f t="shared" si="5"/>
        <v>over budget</v>
      </c>
    </row>
    <row r="29" spans="1:9" x14ac:dyDescent="0.25">
      <c r="A29" s="15">
        <v>46051</v>
      </c>
      <c r="B29" s="16" t="s">
        <v>19</v>
      </c>
      <c r="C29" s="16" t="s">
        <v>7</v>
      </c>
      <c r="D29" s="16" t="s">
        <v>13</v>
      </c>
      <c r="E29" s="17">
        <v>2500</v>
      </c>
      <c r="F29" s="17">
        <v>2200</v>
      </c>
      <c r="G29" s="4">
        <f t="shared" si="3"/>
        <v>-300</v>
      </c>
      <c r="H29" s="5">
        <f t="shared" si="4"/>
        <v>-0.12</v>
      </c>
      <c r="I29" t="str">
        <f t="shared" si="5"/>
        <v>under budget</v>
      </c>
    </row>
    <row r="30" spans="1:9" x14ac:dyDescent="0.25">
      <c r="A30" s="15">
        <v>46052</v>
      </c>
      <c r="B30" s="16" t="s">
        <v>19</v>
      </c>
      <c r="C30" s="16" t="s">
        <v>8</v>
      </c>
      <c r="D30" s="16" t="s">
        <v>10</v>
      </c>
      <c r="E30" s="17">
        <v>73000</v>
      </c>
      <c r="F30" s="17">
        <v>72000</v>
      </c>
      <c r="G30" s="4">
        <f t="shared" si="3"/>
        <v>-1000</v>
      </c>
      <c r="H30" s="5">
        <f t="shared" si="4"/>
        <v>-1.3698630136986301E-2</v>
      </c>
      <c r="I30" t="str">
        <f t="shared" si="5"/>
        <v>under budget</v>
      </c>
    </row>
    <row r="31" spans="1:9" x14ac:dyDescent="0.25">
      <c r="A31" s="15">
        <v>46052</v>
      </c>
      <c r="B31" s="16" t="s">
        <v>19</v>
      </c>
      <c r="C31" s="16" t="s">
        <v>8</v>
      </c>
      <c r="D31" s="16" t="s">
        <v>12</v>
      </c>
      <c r="E31" s="17">
        <v>6000</v>
      </c>
      <c r="F31" s="17">
        <v>6600</v>
      </c>
      <c r="G31" s="4">
        <f t="shared" si="3"/>
        <v>600</v>
      </c>
      <c r="H31" s="5">
        <f t="shared" si="4"/>
        <v>0.1</v>
      </c>
      <c r="I31" t="str">
        <f t="shared" si="5"/>
        <v>over budget</v>
      </c>
    </row>
    <row r="32" spans="1:9" x14ac:dyDescent="0.25">
      <c r="A32" s="15">
        <v>46052</v>
      </c>
      <c r="B32" s="16" t="s">
        <v>19</v>
      </c>
      <c r="C32" s="16" t="s">
        <v>8</v>
      </c>
      <c r="D32" s="16" t="s">
        <v>16</v>
      </c>
      <c r="E32" s="17">
        <v>5500</v>
      </c>
      <c r="F32" s="17">
        <v>5000</v>
      </c>
      <c r="G32" s="4">
        <f t="shared" si="3"/>
        <v>-500</v>
      </c>
      <c r="H32" s="5">
        <f t="shared" si="4"/>
        <v>-9.0909090909090912E-2</v>
      </c>
      <c r="I32" t="str">
        <f t="shared" si="5"/>
        <v>under budget</v>
      </c>
    </row>
    <row r="33" spans="1:9" x14ac:dyDescent="0.25">
      <c r="A33" s="15">
        <v>46053</v>
      </c>
      <c r="B33" s="16" t="s">
        <v>19</v>
      </c>
      <c r="C33" s="16" t="s">
        <v>8</v>
      </c>
      <c r="D33" s="16" t="s">
        <v>15</v>
      </c>
      <c r="E33" s="17">
        <v>4800</v>
      </c>
      <c r="F33" s="17">
        <v>4500</v>
      </c>
      <c r="G33" s="4">
        <f t="shared" si="3"/>
        <v>-300</v>
      </c>
      <c r="H33" s="5">
        <f t="shared" si="4"/>
        <v>-6.25E-2</v>
      </c>
      <c r="I33" t="str">
        <f t="shared" si="5"/>
        <v>under budget</v>
      </c>
    </row>
    <row r="34" spans="1:9" x14ac:dyDescent="0.25">
      <c r="A34" s="15">
        <v>46053</v>
      </c>
      <c r="B34" s="16" t="s">
        <v>19</v>
      </c>
      <c r="C34" s="16" t="s">
        <v>5</v>
      </c>
      <c r="D34" s="16" t="s">
        <v>16</v>
      </c>
      <c r="E34" s="17">
        <v>6500</v>
      </c>
      <c r="F34" s="17">
        <v>7100</v>
      </c>
      <c r="G34" s="4">
        <f t="shared" si="3"/>
        <v>600</v>
      </c>
      <c r="H34" s="5">
        <f t="shared" si="4"/>
        <v>9.2307692307692313E-2</v>
      </c>
      <c r="I34" t="str">
        <f t="shared" si="5"/>
        <v>over budget</v>
      </c>
    </row>
    <row r="35" spans="1:9" x14ac:dyDescent="0.25">
      <c r="A35" s="15">
        <v>46053</v>
      </c>
      <c r="B35" s="16" t="s">
        <v>19</v>
      </c>
      <c r="C35" s="16" t="s">
        <v>3</v>
      </c>
      <c r="D35" s="16" t="s">
        <v>13</v>
      </c>
      <c r="E35" s="17">
        <v>2200</v>
      </c>
      <c r="F35" s="17">
        <v>2000</v>
      </c>
      <c r="G35" s="4">
        <f t="shared" si="3"/>
        <v>-200</v>
      </c>
      <c r="H35" s="5">
        <f t="shared" si="4"/>
        <v>-9.0909090909090912E-2</v>
      </c>
      <c r="I35" t="str">
        <f t="shared" si="5"/>
        <v>under budget</v>
      </c>
    </row>
    <row r="36" spans="1:9" x14ac:dyDescent="0.25">
      <c r="A36" s="15">
        <v>46053</v>
      </c>
      <c r="B36" s="16" t="s">
        <v>19</v>
      </c>
      <c r="C36" s="16" t="s">
        <v>6</v>
      </c>
      <c r="D36" s="16" t="s">
        <v>16</v>
      </c>
      <c r="E36" s="17">
        <v>7200</v>
      </c>
      <c r="F36" s="17">
        <v>6900</v>
      </c>
      <c r="G36" s="4">
        <f t="shared" si="3"/>
        <v>-300</v>
      </c>
      <c r="H36" s="5">
        <f t="shared" si="4"/>
        <v>-4.1666666666666664E-2</v>
      </c>
      <c r="I36" t="str">
        <f t="shared" si="5"/>
        <v>under budget</v>
      </c>
    </row>
    <row r="37" spans="1:9" x14ac:dyDescent="0.25">
      <c r="A37" s="15">
        <v>46055</v>
      </c>
      <c r="B37" s="16" t="s">
        <v>20</v>
      </c>
      <c r="C37" s="16" t="s">
        <v>1</v>
      </c>
      <c r="D37" s="16" t="s">
        <v>10</v>
      </c>
      <c r="E37" s="17">
        <v>126000</v>
      </c>
      <c r="F37" s="17">
        <v>125200</v>
      </c>
      <c r="G37" s="4">
        <f t="shared" ref="G37:G66" si="6">F37-E37</f>
        <v>-800</v>
      </c>
      <c r="H37" s="5">
        <f t="shared" ref="H37:H66" si="7">IFERROR(G37/E37,0)</f>
        <v>-6.3492063492063492E-3</v>
      </c>
      <c r="I37" t="str">
        <f t="shared" ref="I37:I66" si="8">IF(G37&gt;0,"over budget","under budget")</f>
        <v>under budget</v>
      </c>
    </row>
    <row r="38" spans="1:9" x14ac:dyDescent="0.25">
      <c r="A38" s="15">
        <v>46056</v>
      </c>
      <c r="B38" s="16" t="s">
        <v>20</v>
      </c>
      <c r="C38" s="16" t="s">
        <v>1</v>
      </c>
      <c r="D38" s="16" t="s">
        <v>11</v>
      </c>
      <c r="E38" s="17">
        <v>40000</v>
      </c>
      <c r="F38" s="17">
        <v>42100</v>
      </c>
      <c r="G38" s="4">
        <f t="shared" si="6"/>
        <v>2100</v>
      </c>
      <c r="H38" s="5">
        <f t="shared" si="7"/>
        <v>5.2499999999999998E-2</v>
      </c>
      <c r="I38" t="str">
        <f t="shared" si="8"/>
        <v>over budget</v>
      </c>
    </row>
    <row r="39" spans="1:9" x14ac:dyDescent="0.25">
      <c r="A39" s="15">
        <v>46056</v>
      </c>
      <c r="B39" s="16" t="s">
        <v>20</v>
      </c>
      <c r="C39" s="16" t="s">
        <v>1</v>
      </c>
      <c r="D39" s="16" t="s">
        <v>14</v>
      </c>
      <c r="E39" s="17">
        <v>15000</v>
      </c>
      <c r="F39" s="17">
        <v>14600</v>
      </c>
      <c r="G39" s="4">
        <f t="shared" si="6"/>
        <v>-400</v>
      </c>
      <c r="H39" s="5">
        <f t="shared" si="7"/>
        <v>-2.6666666666666668E-2</v>
      </c>
      <c r="I39" t="str">
        <f t="shared" si="8"/>
        <v>under budget</v>
      </c>
    </row>
    <row r="40" spans="1:9" x14ac:dyDescent="0.25">
      <c r="A40" s="15">
        <v>46057</v>
      </c>
      <c r="B40" s="16" t="s">
        <v>20</v>
      </c>
      <c r="C40" s="16" t="s">
        <v>2</v>
      </c>
      <c r="D40" s="16" t="s">
        <v>10</v>
      </c>
      <c r="E40" s="17">
        <v>96000</v>
      </c>
      <c r="F40" s="17">
        <v>97800</v>
      </c>
      <c r="G40" s="4">
        <f t="shared" si="6"/>
        <v>1800</v>
      </c>
      <c r="H40" s="5">
        <f t="shared" si="7"/>
        <v>1.8749999999999999E-2</v>
      </c>
      <c r="I40" t="str">
        <f t="shared" si="8"/>
        <v>over budget</v>
      </c>
    </row>
    <row r="41" spans="1:9" x14ac:dyDescent="0.25">
      <c r="A41" s="15">
        <v>46057</v>
      </c>
      <c r="B41" s="16" t="s">
        <v>20</v>
      </c>
      <c r="C41" s="16" t="s">
        <v>2</v>
      </c>
      <c r="D41" s="16" t="s">
        <v>12</v>
      </c>
      <c r="E41" s="17">
        <v>7000</v>
      </c>
      <c r="F41" s="17">
        <v>6500</v>
      </c>
      <c r="G41" s="4">
        <f t="shared" si="6"/>
        <v>-500</v>
      </c>
      <c r="H41" s="5">
        <f t="shared" si="7"/>
        <v>-7.1428571428571425E-2</v>
      </c>
      <c r="I41" t="str">
        <f t="shared" si="8"/>
        <v>under budget</v>
      </c>
    </row>
    <row r="42" spans="1:9" x14ac:dyDescent="0.25">
      <c r="A42" s="15">
        <v>46058</v>
      </c>
      <c r="B42" s="16" t="s">
        <v>20</v>
      </c>
      <c r="C42" s="16" t="s">
        <v>2</v>
      </c>
      <c r="D42" s="16" t="s">
        <v>16</v>
      </c>
      <c r="E42" s="17">
        <v>8500</v>
      </c>
      <c r="F42" s="17">
        <v>9000</v>
      </c>
      <c r="G42" s="4">
        <f t="shared" si="6"/>
        <v>500</v>
      </c>
      <c r="H42" s="5">
        <f t="shared" si="7"/>
        <v>5.8823529411764705E-2</v>
      </c>
      <c r="I42" t="str">
        <f t="shared" si="8"/>
        <v>over budget</v>
      </c>
    </row>
    <row r="43" spans="1:9" x14ac:dyDescent="0.25">
      <c r="A43" s="15">
        <v>46058</v>
      </c>
      <c r="B43" s="16" t="s">
        <v>20</v>
      </c>
      <c r="C43" s="16" t="s">
        <v>3</v>
      </c>
      <c r="D43" s="16" t="s">
        <v>10</v>
      </c>
      <c r="E43" s="17">
        <v>69000</v>
      </c>
      <c r="F43" s="17">
        <v>68500</v>
      </c>
      <c r="G43" s="4">
        <f t="shared" si="6"/>
        <v>-500</v>
      </c>
      <c r="H43" s="5">
        <f t="shared" si="7"/>
        <v>-7.246376811594203E-3</v>
      </c>
      <c r="I43" t="str">
        <f t="shared" si="8"/>
        <v>under budget</v>
      </c>
    </row>
    <row r="44" spans="1:9" x14ac:dyDescent="0.25">
      <c r="A44" s="15">
        <v>46059</v>
      </c>
      <c r="B44" s="16" t="s">
        <v>20</v>
      </c>
      <c r="C44" s="16" t="s">
        <v>3</v>
      </c>
      <c r="D44" s="16" t="s">
        <v>17</v>
      </c>
      <c r="E44" s="17">
        <v>15500</v>
      </c>
      <c r="F44" s="17">
        <v>16200</v>
      </c>
      <c r="G44" s="4">
        <f t="shared" si="6"/>
        <v>700</v>
      </c>
      <c r="H44" s="5">
        <f t="shared" si="7"/>
        <v>4.5161290322580643E-2</v>
      </c>
      <c r="I44" t="str">
        <f t="shared" si="8"/>
        <v>over budget</v>
      </c>
    </row>
    <row r="45" spans="1:9" x14ac:dyDescent="0.25">
      <c r="A45" s="15">
        <v>46059</v>
      </c>
      <c r="B45" s="16" t="s">
        <v>20</v>
      </c>
      <c r="C45" s="16" t="s">
        <v>3</v>
      </c>
      <c r="D45" s="16" t="s">
        <v>13</v>
      </c>
      <c r="E45" s="17">
        <v>2500</v>
      </c>
      <c r="F45" s="17">
        <v>2200</v>
      </c>
      <c r="G45" s="4">
        <f t="shared" si="6"/>
        <v>-300</v>
      </c>
      <c r="H45" s="5">
        <f t="shared" si="7"/>
        <v>-0.12</v>
      </c>
      <c r="I45" t="str">
        <f t="shared" si="8"/>
        <v>under budget</v>
      </c>
    </row>
    <row r="46" spans="1:9" x14ac:dyDescent="0.25">
      <c r="A46" s="15">
        <v>46060</v>
      </c>
      <c r="B46" s="16" t="s">
        <v>20</v>
      </c>
      <c r="C46" s="16" t="s">
        <v>5</v>
      </c>
      <c r="D46" s="16" t="s">
        <v>10</v>
      </c>
      <c r="E46" s="17">
        <v>53000</v>
      </c>
      <c r="F46" s="17">
        <v>53500</v>
      </c>
      <c r="G46" s="4">
        <f t="shared" si="6"/>
        <v>500</v>
      </c>
      <c r="H46" s="5">
        <f t="shared" si="7"/>
        <v>9.433962264150943E-3</v>
      </c>
      <c r="I46" t="str">
        <f t="shared" si="8"/>
        <v>over budget</v>
      </c>
    </row>
    <row r="47" spans="1:9" x14ac:dyDescent="0.25">
      <c r="A47" s="15">
        <v>46060</v>
      </c>
      <c r="B47" s="16" t="s">
        <v>20</v>
      </c>
      <c r="C47" s="16" t="s">
        <v>5</v>
      </c>
      <c r="D47" s="16" t="s">
        <v>14</v>
      </c>
      <c r="E47" s="17">
        <v>9200</v>
      </c>
      <c r="F47" s="17">
        <v>8800</v>
      </c>
      <c r="G47" s="4">
        <f t="shared" si="6"/>
        <v>-400</v>
      </c>
      <c r="H47" s="5">
        <f t="shared" si="7"/>
        <v>-4.3478260869565216E-2</v>
      </c>
      <c r="I47" t="str">
        <f t="shared" si="8"/>
        <v>under budget</v>
      </c>
    </row>
    <row r="48" spans="1:9" x14ac:dyDescent="0.25">
      <c r="A48" s="15">
        <v>46061</v>
      </c>
      <c r="B48" s="16" t="s">
        <v>20</v>
      </c>
      <c r="C48" s="16" t="s">
        <v>5</v>
      </c>
      <c r="D48" s="16" t="s">
        <v>15</v>
      </c>
      <c r="E48" s="17">
        <v>4200</v>
      </c>
      <c r="F48" s="17">
        <v>4700</v>
      </c>
      <c r="G48" s="4">
        <f t="shared" si="6"/>
        <v>500</v>
      </c>
      <c r="H48" s="5">
        <f t="shared" si="7"/>
        <v>0.11904761904761904</v>
      </c>
      <c r="I48" t="str">
        <f t="shared" si="8"/>
        <v>over budget</v>
      </c>
    </row>
    <row r="49" spans="1:9" x14ac:dyDescent="0.25">
      <c r="A49" s="15">
        <v>46062</v>
      </c>
      <c r="B49" s="16" t="s">
        <v>20</v>
      </c>
      <c r="C49" s="16" t="s">
        <v>4</v>
      </c>
      <c r="D49" s="16" t="s">
        <v>10</v>
      </c>
      <c r="E49" s="17">
        <v>62000</v>
      </c>
      <c r="F49" s="17">
        <v>61500</v>
      </c>
      <c r="G49" s="4">
        <f t="shared" si="6"/>
        <v>-500</v>
      </c>
      <c r="H49" s="5">
        <f t="shared" si="7"/>
        <v>-8.0645161290322578E-3</v>
      </c>
      <c r="I49" t="str">
        <f t="shared" si="8"/>
        <v>under budget</v>
      </c>
    </row>
    <row r="50" spans="1:9" x14ac:dyDescent="0.25">
      <c r="A50" s="15">
        <v>46062</v>
      </c>
      <c r="B50" s="16" t="s">
        <v>20</v>
      </c>
      <c r="C50" s="16" t="s">
        <v>4</v>
      </c>
      <c r="D50" s="16" t="s">
        <v>14</v>
      </c>
      <c r="E50" s="17">
        <v>8100</v>
      </c>
      <c r="F50" s="17">
        <v>7900</v>
      </c>
      <c r="G50" s="4">
        <f t="shared" si="6"/>
        <v>-200</v>
      </c>
      <c r="H50" s="5">
        <f t="shared" si="7"/>
        <v>-2.4691358024691357E-2</v>
      </c>
      <c r="I50" t="str">
        <f t="shared" si="8"/>
        <v>under budget</v>
      </c>
    </row>
    <row r="51" spans="1:9" x14ac:dyDescent="0.25">
      <c r="A51" s="15">
        <v>46063</v>
      </c>
      <c r="B51" s="16" t="s">
        <v>20</v>
      </c>
      <c r="C51" s="16" t="s">
        <v>6</v>
      </c>
      <c r="D51" s="16" t="s">
        <v>10</v>
      </c>
      <c r="E51" s="17">
        <v>109000</v>
      </c>
      <c r="F51" s="17">
        <v>111500</v>
      </c>
      <c r="G51" s="4">
        <f t="shared" si="6"/>
        <v>2500</v>
      </c>
      <c r="H51" s="5">
        <f t="shared" si="7"/>
        <v>2.2935779816513763E-2</v>
      </c>
      <c r="I51" t="str">
        <f t="shared" si="8"/>
        <v>over budget</v>
      </c>
    </row>
    <row r="52" spans="1:9" x14ac:dyDescent="0.25">
      <c r="A52" s="15">
        <v>46063</v>
      </c>
      <c r="B52" s="16" t="s">
        <v>20</v>
      </c>
      <c r="C52" s="16" t="s">
        <v>6</v>
      </c>
      <c r="D52" s="16" t="s">
        <v>14</v>
      </c>
      <c r="E52" s="17">
        <v>22500</v>
      </c>
      <c r="F52" s="17">
        <v>21800</v>
      </c>
      <c r="G52" s="4">
        <f t="shared" si="6"/>
        <v>-700</v>
      </c>
      <c r="H52" s="5">
        <f t="shared" si="7"/>
        <v>-3.111111111111111E-2</v>
      </c>
      <c r="I52" t="str">
        <f t="shared" si="8"/>
        <v>under budget</v>
      </c>
    </row>
    <row r="53" spans="1:9" x14ac:dyDescent="0.25">
      <c r="A53" s="15">
        <v>46064</v>
      </c>
      <c r="B53" s="16" t="s">
        <v>20</v>
      </c>
      <c r="C53" s="16" t="s">
        <v>6</v>
      </c>
      <c r="D53" s="16" t="s">
        <v>15</v>
      </c>
      <c r="E53" s="17">
        <v>6200</v>
      </c>
      <c r="F53" s="17">
        <v>6500</v>
      </c>
      <c r="G53" s="4">
        <f t="shared" si="6"/>
        <v>300</v>
      </c>
      <c r="H53" s="5">
        <f t="shared" si="7"/>
        <v>4.8387096774193547E-2</v>
      </c>
      <c r="I53" t="str">
        <f t="shared" si="8"/>
        <v>over budget</v>
      </c>
    </row>
    <row r="54" spans="1:9" x14ac:dyDescent="0.25">
      <c r="A54" s="15">
        <v>46065</v>
      </c>
      <c r="B54" s="16" t="s">
        <v>20</v>
      </c>
      <c r="C54" s="16" t="s">
        <v>7</v>
      </c>
      <c r="D54" s="16" t="s">
        <v>10</v>
      </c>
      <c r="E54" s="17">
        <v>60000</v>
      </c>
      <c r="F54" s="17">
        <v>59400</v>
      </c>
      <c r="G54" s="4">
        <f t="shared" si="6"/>
        <v>-600</v>
      </c>
      <c r="H54" s="5">
        <f t="shared" si="7"/>
        <v>-0.01</v>
      </c>
      <c r="I54" t="str">
        <f t="shared" si="8"/>
        <v>under budget</v>
      </c>
    </row>
    <row r="55" spans="1:9" x14ac:dyDescent="0.25">
      <c r="A55" s="15">
        <v>46065</v>
      </c>
      <c r="B55" s="16" t="s">
        <v>20</v>
      </c>
      <c r="C55" s="16" t="s">
        <v>7</v>
      </c>
      <c r="D55" s="16" t="s">
        <v>17</v>
      </c>
      <c r="E55" s="17">
        <v>12800</v>
      </c>
      <c r="F55" s="17">
        <v>13100</v>
      </c>
      <c r="G55" s="4">
        <f t="shared" si="6"/>
        <v>300</v>
      </c>
      <c r="H55" s="5">
        <f t="shared" si="7"/>
        <v>2.34375E-2</v>
      </c>
      <c r="I55" t="str">
        <f t="shared" si="8"/>
        <v>over budget</v>
      </c>
    </row>
    <row r="56" spans="1:9" x14ac:dyDescent="0.25">
      <c r="A56" s="15">
        <v>46066</v>
      </c>
      <c r="B56" s="16" t="s">
        <v>20</v>
      </c>
      <c r="C56" s="16" t="s">
        <v>7</v>
      </c>
      <c r="D56" s="16" t="s">
        <v>13</v>
      </c>
      <c r="E56" s="17">
        <v>2400</v>
      </c>
      <c r="F56" s="17">
        <v>2600</v>
      </c>
      <c r="G56" s="4">
        <f t="shared" si="6"/>
        <v>200</v>
      </c>
      <c r="H56" s="5">
        <f t="shared" si="7"/>
        <v>8.3333333333333329E-2</v>
      </c>
      <c r="I56" t="str">
        <f t="shared" si="8"/>
        <v>over budget</v>
      </c>
    </row>
    <row r="57" spans="1:9" x14ac:dyDescent="0.25">
      <c r="A57" s="15">
        <v>46067</v>
      </c>
      <c r="B57" s="16" t="s">
        <v>20</v>
      </c>
      <c r="C57" s="16" t="s">
        <v>8</v>
      </c>
      <c r="D57" s="16" t="s">
        <v>10</v>
      </c>
      <c r="E57" s="17">
        <v>74000</v>
      </c>
      <c r="F57" s="17">
        <v>73800</v>
      </c>
      <c r="G57" s="4">
        <f t="shared" si="6"/>
        <v>-200</v>
      </c>
      <c r="H57" s="5">
        <f t="shared" si="7"/>
        <v>-2.7027027027027029E-3</v>
      </c>
      <c r="I57" t="str">
        <f t="shared" si="8"/>
        <v>under budget</v>
      </c>
    </row>
    <row r="58" spans="1:9" x14ac:dyDescent="0.25">
      <c r="A58" s="15">
        <v>46067</v>
      </c>
      <c r="B58" s="16" t="s">
        <v>20</v>
      </c>
      <c r="C58" s="16" t="s">
        <v>8</v>
      </c>
      <c r="D58" s="16" t="s">
        <v>12</v>
      </c>
      <c r="E58" s="17">
        <v>6200</v>
      </c>
      <c r="F58" s="17">
        <v>6700</v>
      </c>
      <c r="G58" s="4">
        <f t="shared" si="6"/>
        <v>500</v>
      </c>
      <c r="H58" s="5">
        <f t="shared" si="7"/>
        <v>8.0645161290322578E-2</v>
      </c>
      <c r="I58" t="str">
        <f t="shared" si="8"/>
        <v>over budget</v>
      </c>
    </row>
    <row r="59" spans="1:9" x14ac:dyDescent="0.25">
      <c r="A59" s="15">
        <v>46068</v>
      </c>
      <c r="B59" s="16" t="s">
        <v>20</v>
      </c>
      <c r="C59" s="16" t="s">
        <v>8</v>
      </c>
      <c r="D59" s="16" t="s">
        <v>16</v>
      </c>
      <c r="E59" s="17">
        <v>5600</v>
      </c>
      <c r="F59" s="17">
        <v>5300</v>
      </c>
      <c r="G59" s="4">
        <f t="shared" si="6"/>
        <v>-300</v>
      </c>
      <c r="H59" s="5">
        <f t="shared" si="7"/>
        <v>-5.3571428571428568E-2</v>
      </c>
      <c r="I59" t="str">
        <f t="shared" si="8"/>
        <v>under budget</v>
      </c>
    </row>
    <row r="60" spans="1:9" x14ac:dyDescent="0.25">
      <c r="A60" s="15">
        <v>46068</v>
      </c>
      <c r="B60" s="16" t="s">
        <v>20</v>
      </c>
      <c r="C60" s="16" t="s">
        <v>8</v>
      </c>
      <c r="D60" s="16" t="s">
        <v>15</v>
      </c>
      <c r="E60" s="17">
        <v>5000</v>
      </c>
      <c r="F60" s="17">
        <v>4700</v>
      </c>
      <c r="G60" s="4">
        <f t="shared" si="6"/>
        <v>-300</v>
      </c>
      <c r="H60" s="5">
        <f t="shared" si="7"/>
        <v>-0.06</v>
      </c>
      <c r="I60" t="str">
        <f t="shared" si="8"/>
        <v>under budget</v>
      </c>
    </row>
    <row r="61" spans="1:9" x14ac:dyDescent="0.25">
      <c r="A61" s="15">
        <v>46069</v>
      </c>
      <c r="B61" s="16" t="s">
        <v>20</v>
      </c>
      <c r="C61" s="16" t="s">
        <v>5</v>
      </c>
      <c r="D61" s="16" t="s">
        <v>16</v>
      </c>
      <c r="E61" s="17">
        <v>6800</v>
      </c>
      <c r="F61" s="17">
        <v>6400</v>
      </c>
      <c r="G61" s="4">
        <f t="shared" si="6"/>
        <v>-400</v>
      </c>
      <c r="H61" s="5">
        <f t="shared" si="7"/>
        <v>-5.8823529411764705E-2</v>
      </c>
      <c r="I61" t="str">
        <f t="shared" si="8"/>
        <v>under budget</v>
      </c>
    </row>
    <row r="62" spans="1:9" x14ac:dyDescent="0.25">
      <c r="A62" s="15">
        <v>46070</v>
      </c>
      <c r="B62" s="16" t="s">
        <v>20</v>
      </c>
      <c r="C62" s="16" t="s">
        <v>6</v>
      </c>
      <c r="D62" s="16" t="s">
        <v>16</v>
      </c>
      <c r="E62" s="17">
        <v>7500</v>
      </c>
      <c r="F62" s="17">
        <v>7800</v>
      </c>
      <c r="G62" s="4">
        <f t="shared" si="6"/>
        <v>300</v>
      </c>
      <c r="H62" s="5">
        <f t="shared" si="7"/>
        <v>0.04</v>
      </c>
      <c r="I62" t="str">
        <f t="shared" si="8"/>
        <v>over budget</v>
      </c>
    </row>
    <row r="63" spans="1:9" x14ac:dyDescent="0.25">
      <c r="A63" s="15">
        <v>46071</v>
      </c>
      <c r="B63" s="16" t="s">
        <v>20</v>
      </c>
      <c r="C63" s="16" t="s">
        <v>3</v>
      </c>
      <c r="D63" s="16" t="s">
        <v>14</v>
      </c>
      <c r="E63" s="17">
        <v>9100</v>
      </c>
      <c r="F63" s="17">
        <v>8900</v>
      </c>
      <c r="G63" s="4">
        <f t="shared" si="6"/>
        <v>-200</v>
      </c>
      <c r="H63" s="5">
        <f t="shared" si="7"/>
        <v>-2.197802197802198E-2</v>
      </c>
      <c r="I63" t="str">
        <f t="shared" si="8"/>
        <v>under budget</v>
      </c>
    </row>
    <row r="64" spans="1:9" x14ac:dyDescent="0.25">
      <c r="A64" s="15">
        <v>46072</v>
      </c>
      <c r="B64" s="16" t="s">
        <v>20</v>
      </c>
      <c r="C64" s="16" t="s">
        <v>1</v>
      </c>
      <c r="D64" s="16" t="s">
        <v>12</v>
      </c>
      <c r="E64" s="17">
        <v>9000</v>
      </c>
      <c r="F64" s="17">
        <v>9400</v>
      </c>
      <c r="G64" s="4">
        <f t="shared" si="6"/>
        <v>400</v>
      </c>
      <c r="H64" s="5">
        <f t="shared" si="7"/>
        <v>4.4444444444444446E-2</v>
      </c>
      <c r="I64" t="str">
        <f t="shared" si="8"/>
        <v>over budget</v>
      </c>
    </row>
    <row r="65" spans="1:9" x14ac:dyDescent="0.25">
      <c r="A65" s="15">
        <v>46073</v>
      </c>
      <c r="B65" s="16" t="s">
        <v>20</v>
      </c>
      <c r="C65" s="16" t="s">
        <v>2</v>
      </c>
      <c r="D65" s="16" t="s">
        <v>11</v>
      </c>
      <c r="E65" s="17">
        <v>29500</v>
      </c>
      <c r="F65" s="17">
        <v>28700</v>
      </c>
      <c r="G65" s="4">
        <f t="shared" si="6"/>
        <v>-800</v>
      </c>
      <c r="H65" s="5">
        <f t="shared" si="7"/>
        <v>-2.7118644067796609E-2</v>
      </c>
      <c r="I65" t="str">
        <f t="shared" si="8"/>
        <v>under budget</v>
      </c>
    </row>
    <row r="66" spans="1:9" x14ac:dyDescent="0.25">
      <c r="A66" s="15">
        <v>46074</v>
      </c>
      <c r="B66" s="16" t="s">
        <v>20</v>
      </c>
      <c r="C66" s="16" t="s">
        <v>4</v>
      </c>
      <c r="D66" s="16" t="s">
        <v>15</v>
      </c>
      <c r="E66" s="17">
        <v>4700</v>
      </c>
      <c r="F66" s="17">
        <v>4500</v>
      </c>
      <c r="G66" s="4">
        <f t="shared" si="6"/>
        <v>-200</v>
      </c>
      <c r="H66" s="5">
        <f t="shared" si="7"/>
        <v>-4.2553191489361701E-2</v>
      </c>
      <c r="I66" t="str">
        <f t="shared" si="8"/>
        <v>under budget</v>
      </c>
    </row>
    <row r="67" spans="1:9" x14ac:dyDescent="0.25">
      <c r="A67" s="15">
        <v>46083</v>
      </c>
      <c r="B67" s="16" t="s">
        <v>21</v>
      </c>
      <c r="C67" s="16" t="s">
        <v>1</v>
      </c>
      <c r="D67" s="16" t="s">
        <v>10</v>
      </c>
      <c r="E67" s="17">
        <v>127000</v>
      </c>
      <c r="F67" s="17">
        <v>126200</v>
      </c>
      <c r="G67" s="4">
        <f t="shared" ref="G67:G96" si="9">F67-E67</f>
        <v>-800</v>
      </c>
      <c r="H67" s="5">
        <f t="shared" ref="H67:H96" si="10">IFERROR(G67/E67,0)</f>
        <v>-6.2992125984251968E-3</v>
      </c>
      <c r="I67" t="str">
        <f t="shared" ref="I67:I96" si="11">IF(G67&gt;0,"over budget","under budget")</f>
        <v>under budget</v>
      </c>
    </row>
    <row r="68" spans="1:9" x14ac:dyDescent="0.25">
      <c r="A68" s="15">
        <v>46083</v>
      </c>
      <c r="B68" s="16" t="s">
        <v>21</v>
      </c>
      <c r="C68" s="16" t="s">
        <v>1</v>
      </c>
      <c r="D68" s="16" t="s">
        <v>11</v>
      </c>
      <c r="E68" s="17">
        <v>41500</v>
      </c>
      <c r="F68" s="17">
        <v>42800</v>
      </c>
      <c r="G68" s="4">
        <f t="shared" si="9"/>
        <v>1300</v>
      </c>
      <c r="H68" s="5">
        <f t="shared" si="10"/>
        <v>3.1325301204819279E-2</v>
      </c>
      <c r="I68" t="str">
        <f t="shared" si="11"/>
        <v>over budget</v>
      </c>
    </row>
    <row r="69" spans="1:9" x14ac:dyDescent="0.25">
      <c r="A69" s="15">
        <v>46084</v>
      </c>
      <c r="B69" s="16" t="s">
        <v>21</v>
      </c>
      <c r="C69" s="16" t="s">
        <v>1</v>
      </c>
      <c r="D69" s="16" t="s">
        <v>12</v>
      </c>
      <c r="E69" s="17">
        <v>9200</v>
      </c>
      <c r="F69" s="17">
        <v>8900</v>
      </c>
      <c r="G69" s="4">
        <f t="shared" si="9"/>
        <v>-300</v>
      </c>
      <c r="H69" s="5">
        <f t="shared" si="10"/>
        <v>-3.2608695652173912E-2</v>
      </c>
      <c r="I69" t="str">
        <f t="shared" si="11"/>
        <v>under budget</v>
      </c>
    </row>
    <row r="70" spans="1:9" x14ac:dyDescent="0.25">
      <c r="A70" s="15">
        <v>46084</v>
      </c>
      <c r="B70" s="16" t="s">
        <v>21</v>
      </c>
      <c r="C70" s="16" t="s">
        <v>1</v>
      </c>
      <c r="D70" s="16" t="s">
        <v>14</v>
      </c>
      <c r="E70" s="17">
        <v>15200</v>
      </c>
      <c r="F70" s="17">
        <v>14900</v>
      </c>
      <c r="G70" s="4">
        <f t="shared" si="9"/>
        <v>-300</v>
      </c>
      <c r="H70" s="5">
        <f t="shared" si="10"/>
        <v>-1.9736842105263157E-2</v>
      </c>
      <c r="I70" t="str">
        <f t="shared" si="11"/>
        <v>under budget</v>
      </c>
    </row>
    <row r="71" spans="1:9" x14ac:dyDescent="0.25">
      <c r="A71" s="15">
        <v>46085</v>
      </c>
      <c r="B71" s="16" t="s">
        <v>21</v>
      </c>
      <c r="C71" s="16" t="s">
        <v>2</v>
      </c>
      <c r="D71" s="16" t="s">
        <v>10</v>
      </c>
      <c r="E71" s="17">
        <v>97000</v>
      </c>
      <c r="F71" s="17">
        <v>98400</v>
      </c>
      <c r="G71" s="4">
        <f t="shared" si="9"/>
        <v>1400</v>
      </c>
      <c r="H71" s="5">
        <f t="shared" si="10"/>
        <v>1.443298969072165E-2</v>
      </c>
      <c r="I71" t="str">
        <f t="shared" si="11"/>
        <v>over budget</v>
      </c>
    </row>
    <row r="72" spans="1:9" x14ac:dyDescent="0.25">
      <c r="A72" s="15">
        <v>46085</v>
      </c>
      <c r="B72" s="16" t="s">
        <v>21</v>
      </c>
      <c r="C72" s="16" t="s">
        <v>2</v>
      </c>
      <c r="D72" s="16" t="s">
        <v>11</v>
      </c>
      <c r="E72" s="17">
        <v>30000</v>
      </c>
      <c r="F72" s="17">
        <v>29200</v>
      </c>
      <c r="G72" s="4">
        <f t="shared" si="9"/>
        <v>-800</v>
      </c>
      <c r="H72" s="5">
        <f t="shared" si="10"/>
        <v>-2.6666666666666668E-2</v>
      </c>
      <c r="I72" t="str">
        <f t="shared" si="11"/>
        <v>under budget</v>
      </c>
    </row>
    <row r="73" spans="1:9" x14ac:dyDescent="0.25">
      <c r="A73" s="15">
        <v>46086</v>
      </c>
      <c r="B73" s="16" t="s">
        <v>21</v>
      </c>
      <c r="C73" s="16" t="s">
        <v>2</v>
      </c>
      <c r="D73" s="16" t="s">
        <v>16</v>
      </c>
      <c r="E73" s="17">
        <v>9000</v>
      </c>
      <c r="F73" s="17">
        <v>9300</v>
      </c>
      <c r="G73" s="4">
        <f t="shared" si="9"/>
        <v>300</v>
      </c>
      <c r="H73" s="5">
        <f t="shared" si="10"/>
        <v>3.3333333333333333E-2</v>
      </c>
      <c r="I73" t="str">
        <f t="shared" si="11"/>
        <v>over budget</v>
      </c>
    </row>
    <row r="74" spans="1:9" x14ac:dyDescent="0.25">
      <c r="A74" s="15">
        <v>46086</v>
      </c>
      <c r="B74" s="16" t="s">
        <v>21</v>
      </c>
      <c r="C74" s="16" t="s">
        <v>3</v>
      </c>
      <c r="D74" s="16" t="s">
        <v>10</v>
      </c>
      <c r="E74" s="17">
        <v>70000</v>
      </c>
      <c r="F74" s="17">
        <v>69500</v>
      </c>
      <c r="G74" s="4">
        <f t="shared" si="9"/>
        <v>-500</v>
      </c>
      <c r="H74" s="5">
        <f t="shared" si="10"/>
        <v>-7.1428571428571426E-3</v>
      </c>
      <c r="I74" t="str">
        <f t="shared" si="11"/>
        <v>under budget</v>
      </c>
    </row>
    <row r="75" spans="1:9" x14ac:dyDescent="0.25">
      <c r="A75" s="15">
        <v>46087</v>
      </c>
      <c r="B75" s="16" t="s">
        <v>21</v>
      </c>
      <c r="C75" s="16" t="s">
        <v>3</v>
      </c>
      <c r="D75" s="16" t="s">
        <v>17</v>
      </c>
      <c r="E75" s="17">
        <v>16000</v>
      </c>
      <c r="F75" s="17">
        <v>17100</v>
      </c>
      <c r="G75" s="4">
        <f t="shared" si="9"/>
        <v>1100</v>
      </c>
      <c r="H75" s="5">
        <f t="shared" si="10"/>
        <v>6.8750000000000006E-2</v>
      </c>
      <c r="I75" t="str">
        <f t="shared" si="11"/>
        <v>over budget</v>
      </c>
    </row>
    <row r="76" spans="1:9" x14ac:dyDescent="0.25">
      <c r="A76" s="15">
        <v>46087</v>
      </c>
      <c r="B76" s="16" t="s">
        <v>21</v>
      </c>
      <c r="C76" s="16" t="s">
        <v>3</v>
      </c>
      <c r="D76" s="16" t="s">
        <v>14</v>
      </c>
      <c r="E76" s="17">
        <v>9300</v>
      </c>
      <c r="F76" s="17">
        <v>8900</v>
      </c>
      <c r="G76" s="4">
        <f t="shared" si="9"/>
        <v>-400</v>
      </c>
      <c r="H76" s="5">
        <f t="shared" si="10"/>
        <v>-4.3010752688172046E-2</v>
      </c>
      <c r="I76" t="str">
        <f t="shared" si="11"/>
        <v>under budget</v>
      </c>
    </row>
    <row r="77" spans="1:9" x14ac:dyDescent="0.25">
      <c r="A77" s="15">
        <v>46088</v>
      </c>
      <c r="B77" s="16" t="s">
        <v>21</v>
      </c>
      <c r="C77" s="16" t="s">
        <v>5</v>
      </c>
      <c r="D77" s="16" t="s">
        <v>10</v>
      </c>
      <c r="E77" s="17">
        <v>54000</v>
      </c>
      <c r="F77" s="17">
        <v>54700</v>
      </c>
      <c r="G77" s="4">
        <f t="shared" si="9"/>
        <v>700</v>
      </c>
      <c r="H77" s="5">
        <f t="shared" si="10"/>
        <v>1.2962962962962963E-2</v>
      </c>
      <c r="I77" t="str">
        <f t="shared" si="11"/>
        <v>over budget</v>
      </c>
    </row>
    <row r="78" spans="1:9" x14ac:dyDescent="0.25">
      <c r="A78" s="15">
        <v>46088</v>
      </c>
      <c r="B78" s="16" t="s">
        <v>21</v>
      </c>
      <c r="C78" s="16" t="s">
        <v>5</v>
      </c>
      <c r="D78" s="16" t="s">
        <v>13</v>
      </c>
      <c r="E78" s="17">
        <v>2800</v>
      </c>
      <c r="F78" s="17">
        <v>2600</v>
      </c>
      <c r="G78" s="4">
        <f t="shared" si="9"/>
        <v>-200</v>
      </c>
      <c r="H78" s="5">
        <f t="shared" si="10"/>
        <v>-7.1428571428571425E-2</v>
      </c>
      <c r="I78" t="str">
        <f t="shared" si="11"/>
        <v>under budget</v>
      </c>
    </row>
    <row r="79" spans="1:9" x14ac:dyDescent="0.25">
      <c r="A79" s="15">
        <v>46089</v>
      </c>
      <c r="B79" s="16" t="s">
        <v>21</v>
      </c>
      <c r="C79" s="16" t="s">
        <v>5</v>
      </c>
      <c r="D79" s="16" t="s">
        <v>16</v>
      </c>
      <c r="E79" s="17">
        <v>6900</v>
      </c>
      <c r="F79" s="17">
        <v>7200</v>
      </c>
      <c r="G79" s="4">
        <f t="shared" si="9"/>
        <v>300</v>
      </c>
      <c r="H79" s="5">
        <f t="shared" si="10"/>
        <v>4.3478260869565216E-2</v>
      </c>
      <c r="I79" t="str">
        <f t="shared" si="11"/>
        <v>over budget</v>
      </c>
    </row>
    <row r="80" spans="1:9" x14ac:dyDescent="0.25">
      <c r="A80" s="15">
        <v>46089</v>
      </c>
      <c r="B80" s="16" t="s">
        <v>21</v>
      </c>
      <c r="C80" s="16" t="s">
        <v>4</v>
      </c>
      <c r="D80" s="16" t="s">
        <v>10</v>
      </c>
      <c r="E80" s="17">
        <v>62500</v>
      </c>
      <c r="F80" s="17">
        <v>62000</v>
      </c>
      <c r="G80" s="4">
        <f t="shared" si="9"/>
        <v>-500</v>
      </c>
      <c r="H80" s="5">
        <f t="shared" si="10"/>
        <v>-8.0000000000000002E-3</v>
      </c>
      <c r="I80" t="str">
        <f t="shared" si="11"/>
        <v>under budget</v>
      </c>
    </row>
    <row r="81" spans="1:9" x14ac:dyDescent="0.25">
      <c r="A81" s="15">
        <v>46090</v>
      </c>
      <c r="B81" s="16" t="s">
        <v>21</v>
      </c>
      <c r="C81" s="16" t="s">
        <v>4</v>
      </c>
      <c r="D81" s="16" t="s">
        <v>15</v>
      </c>
      <c r="E81" s="17">
        <v>4800</v>
      </c>
      <c r="F81" s="17">
        <v>5100</v>
      </c>
      <c r="G81" s="4">
        <f t="shared" si="9"/>
        <v>300</v>
      </c>
      <c r="H81" s="5">
        <f t="shared" si="10"/>
        <v>6.25E-2</v>
      </c>
      <c r="I81" t="str">
        <f t="shared" si="11"/>
        <v>over budget</v>
      </c>
    </row>
    <row r="82" spans="1:9" x14ac:dyDescent="0.25">
      <c r="A82" s="15">
        <v>46090</v>
      </c>
      <c r="B82" s="16" t="s">
        <v>21</v>
      </c>
      <c r="C82" s="16" t="s">
        <v>4</v>
      </c>
      <c r="D82" s="16" t="s">
        <v>14</v>
      </c>
      <c r="E82" s="17">
        <v>8300</v>
      </c>
      <c r="F82" s="17">
        <v>8100</v>
      </c>
      <c r="G82" s="4">
        <f t="shared" si="9"/>
        <v>-200</v>
      </c>
      <c r="H82" s="5">
        <f t="shared" si="10"/>
        <v>-2.4096385542168676E-2</v>
      </c>
      <c r="I82" t="str">
        <f t="shared" si="11"/>
        <v>under budget</v>
      </c>
    </row>
    <row r="83" spans="1:9" x14ac:dyDescent="0.25">
      <c r="A83" s="15">
        <v>46091</v>
      </c>
      <c r="B83" s="16" t="s">
        <v>21</v>
      </c>
      <c r="C83" s="16" t="s">
        <v>6</v>
      </c>
      <c r="D83" s="16" t="s">
        <v>10</v>
      </c>
      <c r="E83" s="17">
        <v>110000</v>
      </c>
      <c r="F83" s="17">
        <v>112300</v>
      </c>
      <c r="G83" s="4">
        <f t="shared" si="9"/>
        <v>2300</v>
      </c>
      <c r="H83" s="5">
        <f t="shared" si="10"/>
        <v>2.0909090909090908E-2</v>
      </c>
      <c r="I83" t="str">
        <f t="shared" si="11"/>
        <v>over budget</v>
      </c>
    </row>
    <row r="84" spans="1:9" x14ac:dyDescent="0.25">
      <c r="A84" s="15">
        <v>46091</v>
      </c>
      <c r="B84" s="16" t="s">
        <v>21</v>
      </c>
      <c r="C84" s="16" t="s">
        <v>6</v>
      </c>
      <c r="D84" s="16" t="s">
        <v>14</v>
      </c>
      <c r="E84" s="17">
        <v>23000</v>
      </c>
      <c r="F84" s="17">
        <v>22600</v>
      </c>
      <c r="G84" s="4">
        <f t="shared" si="9"/>
        <v>-400</v>
      </c>
      <c r="H84" s="5">
        <f t="shared" si="10"/>
        <v>-1.7391304347826087E-2</v>
      </c>
      <c r="I84" t="str">
        <f t="shared" si="11"/>
        <v>under budget</v>
      </c>
    </row>
    <row r="85" spans="1:9" x14ac:dyDescent="0.25">
      <c r="A85" s="15">
        <v>46092</v>
      </c>
      <c r="B85" s="16" t="s">
        <v>21</v>
      </c>
      <c r="C85" s="16" t="s">
        <v>6</v>
      </c>
      <c r="D85" s="16" t="s">
        <v>15</v>
      </c>
      <c r="E85" s="17">
        <v>6400</v>
      </c>
      <c r="F85" s="17">
        <v>6600</v>
      </c>
      <c r="G85" s="4">
        <f t="shared" si="9"/>
        <v>200</v>
      </c>
      <c r="H85" s="5">
        <f t="shared" si="10"/>
        <v>3.125E-2</v>
      </c>
      <c r="I85" t="str">
        <f t="shared" si="11"/>
        <v>over budget</v>
      </c>
    </row>
    <row r="86" spans="1:9" x14ac:dyDescent="0.25">
      <c r="A86" s="15">
        <v>46092</v>
      </c>
      <c r="B86" s="16" t="s">
        <v>21</v>
      </c>
      <c r="C86" s="16" t="s">
        <v>7</v>
      </c>
      <c r="D86" s="16" t="s">
        <v>10</v>
      </c>
      <c r="E86" s="17">
        <v>60500</v>
      </c>
      <c r="F86" s="17">
        <v>59900</v>
      </c>
      <c r="G86" s="4">
        <f t="shared" si="9"/>
        <v>-600</v>
      </c>
      <c r="H86" s="5">
        <f t="shared" si="10"/>
        <v>-9.9173553719008271E-3</v>
      </c>
      <c r="I86" t="str">
        <f t="shared" si="11"/>
        <v>under budget</v>
      </c>
    </row>
    <row r="87" spans="1:9" x14ac:dyDescent="0.25">
      <c r="A87" s="15">
        <v>46093</v>
      </c>
      <c r="B87" s="16" t="s">
        <v>21</v>
      </c>
      <c r="C87" s="16" t="s">
        <v>7</v>
      </c>
      <c r="D87" s="16" t="s">
        <v>17</v>
      </c>
      <c r="E87" s="17">
        <v>13000</v>
      </c>
      <c r="F87" s="17">
        <v>13300</v>
      </c>
      <c r="G87" s="4">
        <f t="shared" si="9"/>
        <v>300</v>
      </c>
      <c r="H87" s="5">
        <f t="shared" si="10"/>
        <v>2.3076923076923078E-2</v>
      </c>
      <c r="I87" t="str">
        <f t="shared" si="11"/>
        <v>over budget</v>
      </c>
    </row>
    <row r="88" spans="1:9" x14ac:dyDescent="0.25">
      <c r="A88" s="15">
        <v>46093</v>
      </c>
      <c r="B88" s="16" t="s">
        <v>21</v>
      </c>
      <c r="C88" s="16" t="s">
        <v>7</v>
      </c>
      <c r="D88" s="16" t="s">
        <v>13</v>
      </c>
      <c r="E88" s="17">
        <v>2500</v>
      </c>
      <c r="F88" s="17">
        <v>2300</v>
      </c>
      <c r="G88" s="4">
        <f t="shared" si="9"/>
        <v>-200</v>
      </c>
      <c r="H88" s="5">
        <f t="shared" si="10"/>
        <v>-0.08</v>
      </c>
      <c r="I88" t="str">
        <f t="shared" si="11"/>
        <v>under budget</v>
      </c>
    </row>
    <row r="89" spans="1:9" x14ac:dyDescent="0.25">
      <c r="A89" s="15">
        <v>46094</v>
      </c>
      <c r="B89" s="16" t="s">
        <v>21</v>
      </c>
      <c r="C89" s="16" t="s">
        <v>8</v>
      </c>
      <c r="D89" s="16" t="s">
        <v>10</v>
      </c>
      <c r="E89" s="17">
        <v>74500</v>
      </c>
      <c r="F89" s="17">
        <v>74100</v>
      </c>
      <c r="G89" s="4">
        <f t="shared" si="9"/>
        <v>-400</v>
      </c>
      <c r="H89" s="5">
        <f t="shared" si="10"/>
        <v>-5.3691275167785232E-3</v>
      </c>
      <c r="I89" t="str">
        <f t="shared" si="11"/>
        <v>under budget</v>
      </c>
    </row>
    <row r="90" spans="1:9" x14ac:dyDescent="0.25">
      <c r="A90" s="15">
        <v>46094</v>
      </c>
      <c r="B90" s="16" t="s">
        <v>21</v>
      </c>
      <c r="C90" s="16" t="s">
        <v>8</v>
      </c>
      <c r="D90" s="16" t="s">
        <v>12</v>
      </c>
      <c r="E90" s="17">
        <v>6500</v>
      </c>
      <c r="F90" s="17">
        <v>6900</v>
      </c>
      <c r="G90" s="4">
        <f t="shared" si="9"/>
        <v>400</v>
      </c>
      <c r="H90" s="5">
        <f t="shared" si="10"/>
        <v>6.1538461538461542E-2</v>
      </c>
      <c r="I90" t="str">
        <f t="shared" si="11"/>
        <v>over budget</v>
      </c>
    </row>
    <row r="91" spans="1:9" x14ac:dyDescent="0.25">
      <c r="A91" s="15">
        <v>46095</v>
      </c>
      <c r="B91" s="16" t="s">
        <v>21</v>
      </c>
      <c r="C91" s="16" t="s">
        <v>8</v>
      </c>
      <c r="D91" s="16" t="s">
        <v>16</v>
      </c>
      <c r="E91" s="17">
        <v>5800</v>
      </c>
      <c r="F91" s="17">
        <v>5600</v>
      </c>
      <c r="G91" s="4">
        <f t="shared" si="9"/>
        <v>-200</v>
      </c>
      <c r="H91" s="5">
        <f t="shared" si="10"/>
        <v>-3.4482758620689655E-2</v>
      </c>
      <c r="I91" t="str">
        <f t="shared" si="11"/>
        <v>under budget</v>
      </c>
    </row>
    <row r="92" spans="1:9" x14ac:dyDescent="0.25">
      <c r="A92" s="15">
        <v>46095</v>
      </c>
      <c r="B92" s="16" t="s">
        <v>21</v>
      </c>
      <c r="C92" s="16" t="s">
        <v>8</v>
      </c>
      <c r="D92" s="16" t="s">
        <v>15</v>
      </c>
      <c r="E92" s="17">
        <v>5100</v>
      </c>
      <c r="F92" s="17">
        <v>4800</v>
      </c>
      <c r="G92" s="4">
        <f t="shared" si="9"/>
        <v>-300</v>
      </c>
      <c r="H92" s="5">
        <f t="shared" si="10"/>
        <v>-5.8823529411764705E-2</v>
      </c>
      <c r="I92" t="str">
        <f t="shared" si="11"/>
        <v>under budget</v>
      </c>
    </row>
    <row r="93" spans="1:9" x14ac:dyDescent="0.25">
      <c r="A93" s="15">
        <v>46096</v>
      </c>
      <c r="B93" s="16" t="s">
        <v>21</v>
      </c>
      <c r="C93" s="16" t="s">
        <v>5</v>
      </c>
      <c r="D93" s="16" t="s">
        <v>17</v>
      </c>
      <c r="E93" s="17">
        <v>14500</v>
      </c>
      <c r="F93" s="17">
        <v>15000</v>
      </c>
      <c r="G93" s="4">
        <f t="shared" si="9"/>
        <v>500</v>
      </c>
      <c r="H93" s="5">
        <f t="shared" si="10"/>
        <v>3.4482758620689655E-2</v>
      </c>
      <c r="I93" t="str">
        <f t="shared" si="11"/>
        <v>over budget</v>
      </c>
    </row>
    <row r="94" spans="1:9" x14ac:dyDescent="0.25">
      <c r="A94" s="15">
        <v>46097</v>
      </c>
      <c r="B94" s="16" t="s">
        <v>21</v>
      </c>
      <c r="C94" s="16" t="s">
        <v>3</v>
      </c>
      <c r="D94" s="16" t="s">
        <v>13</v>
      </c>
      <c r="E94" s="17">
        <v>2400</v>
      </c>
      <c r="F94" s="17">
        <v>2200</v>
      </c>
      <c r="G94" s="4">
        <f t="shared" si="9"/>
        <v>-200</v>
      </c>
      <c r="H94" s="5">
        <f t="shared" si="10"/>
        <v>-8.3333333333333329E-2</v>
      </c>
      <c r="I94" t="str">
        <f t="shared" si="11"/>
        <v>under budget</v>
      </c>
    </row>
    <row r="95" spans="1:9" x14ac:dyDescent="0.25">
      <c r="A95" s="15">
        <v>46098</v>
      </c>
      <c r="B95" s="16" t="s">
        <v>21</v>
      </c>
      <c r="C95" s="16" t="s">
        <v>6</v>
      </c>
      <c r="D95" s="16" t="s">
        <v>16</v>
      </c>
      <c r="E95" s="17">
        <v>7600</v>
      </c>
      <c r="F95" s="17">
        <v>7900</v>
      </c>
      <c r="G95" s="4">
        <f t="shared" si="9"/>
        <v>300</v>
      </c>
      <c r="H95" s="5">
        <f t="shared" si="10"/>
        <v>3.9473684210526314E-2</v>
      </c>
      <c r="I95" t="str">
        <f t="shared" si="11"/>
        <v>over budget</v>
      </c>
    </row>
    <row r="96" spans="1:9" x14ac:dyDescent="0.25">
      <c r="A96" s="15">
        <v>46099</v>
      </c>
      <c r="B96" s="16" t="s">
        <v>21</v>
      </c>
      <c r="C96" s="16" t="s">
        <v>2</v>
      </c>
      <c r="D96" s="16" t="s">
        <v>12</v>
      </c>
      <c r="E96" s="17">
        <v>7200</v>
      </c>
      <c r="F96" s="17">
        <v>7000</v>
      </c>
      <c r="G96" s="4">
        <f t="shared" si="9"/>
        <v>-200</v>
      </c>
      <c r="H96" s="5">
        <f t="shared" si="10"/>
        <v>-2.7777777777777776E-2</v>
      </c>
      <c r="I96" t="str">
        <f t="shared" si="11"/>
        <v>under budget</v>
      </c>
    </row>
    <row r="97" spans="1:9" x14ac:dyDescent="0.25">
      <c r="A97" s="19">
        <v>46113</v>
      </c>
      <c r="B97" s="18" t="s">
        <v>22</v>
      </c>
      <c r="C97" s="18" t="s">
        <v>8</v>
      </c>
      <c r="D97" s="18" t="s">
        <v>13</v>
      </c>
      <c r="E97" s="3">
        <v>4489</v>
      </c>
      <c r="F97" s="3">
        <v>4680.0200000000004</v>
      </c>
      <c r="G97" s="4">
        <f t="shared" ref="G97:G136" si="12">F97-E97</f>
        <v>191.02000000000044</v>
      </c>
      <c r="H97" s="5">
        <f t="shared" ref="H97:H136" si="13">IFERROR(G97/E97,0)</f>
        <v>4.2552907106259842E-2</v>
      </c>
      <c r="I97" t="str">
        <f t="shared" ref="I97:I136" si="14">IF(G97&gt;0,"over budget","under budget")</f>
        <v>over budget</v>
      </c>
    </row>
    <row r="98" spans="1:9" x14ac:dyDescent="0.25">
      <c r="A98" s="19">
        <v>46114</v>
      </c>
      <c r="B98" s="18" t="s">
        <v>22</v>
      </c>
      <c r="C98" s="18" t="s">
        <v>6</v>
      </c>
      <c r="D98" s="18" t="s">
        <v>12</v>
      </c>
      <c r="E98" s="3">
        <v>3171</v>
      </c>
      <c r="F98" s="3">
        <v>3212.34</v>
      </c>
      <c r="G98" s="4">
        <f t="shared" si="12"/>
        <v>41.340000000000146</v>
      </c>
      <c r="H98" s="5">
        <f t="shared" si="13"/>
        <v>1.3036896877956526E-2</v>
      </c>
      <c r="I98" t="str">
        <f t="shared" si="14"/>
        <v>over budget</v>
      </c>
    </row>
    <row r="99" spans="1:9" x14ac:dyDescent="0.25">
      <c r="A99" s="19">
        <v>46115</v>
      </c>
      <c r="B99" s="18" t="s">
        <v>22</v>
      </c>
      <c r="C99" s="18" t="s">
        <v>3</v>
      </c>
      <c r="D99" s="18" t="s">
        <v>13</v>
      </c>
      <c r="E99" s="3">
        <v>5762</v>
      </c>
      <c r="F99" s="3">
        <v>5790.51</v>
      </c>
      <c r="G99" s="4">
        <f t="shared" si="12"/>
        <v>28.510000000000218</v>
      </c>
      <c r="H99" s="5">
        <f t="shared" si="13"/>
        <v>4.9479347448802878E-3</v>
      </c>
      <c r="I99" t="str">
        <f t="shared" si="14"/>
        <v>over budget</v>
      </c>
    </row>
    <row r="100" spans="1:9" x14ac:dyDescent="0.25">
      <c r="A100" s="19">
        <v>46116</v>
      </c>
      <c r="B100" s="18" t="s">
        <v>22</v>
      </c>
      <c r="C100" s="18" t="s">
        <v>7</v>
      </c>
      <c r="D100" s="18" t="s">
        <v>14</v>
      </c>
      <c r="E100" s="3">
        <v>8495</v>
      </c>
      <c r="F100" s="3">
        <v>9279.01</v>
      </c>
      <c r="G100" s="4">
        <f t="shared" si="12"/>
        <v>784.01000000000022</v>
      </c>
      <c r="H100" s="5">
        <f t="shared" si="13"/>
        <v>9.2290759270158937E-2</v>
      </c>
      <c r="I100" t="str">
        <f t="shared" si="14"/>
        <v>over budget</v>
      </c>
    </row>
    <row r="101" spans="1:9" x14ac:dyDescent="0.25">
      <c r="A101" s="19">
        <v>46117</v>
      </c>
      <c r="B101" s="18" t="s">
        <v>22</v>
      </c>
      <c r="C101" s="18" t="s">
        <v>7</v>
      </c>
      <c r="D101" s="18" t="s">
        <v>13</v>
      </c>
      <c r="E101" s="3">
        <v>2373</v>
      </c>
      <c r="F101" s="3">
        <v>2613.34</v>
      </c>
      <c r="G101" s="4">
        <f t="shared" si="12"/>
        <v>240.34000000000015</v>
      </c>
      <c r="H101" s="5">
        <f t="shared" si="13"/>
        <v>0.10128107880320276</v>
      </c>
      <c r="I101" t="str">
        <f t="shared" si="14"/>
        <v>over budget</v>
      </c>
    </row>
    <row r="102" spans="1:9" x14ac:dyDescent="0.25">
      <c r="A102" s="19">
        <v>46118</v>
      </c>
      <c r="B102" s="18" t="s">
        <v>22</v>
      </c>
      <c r="C102" s="18" t="s">
        <v>8</v>
      </c>
      <c r="D102" s="18" t="s">
        <v>16</v>
      </c>
      <c r="E102" s="3">
        <v>5219</v>
      </c>
      <c r="F102" s="3">
        <v>4769.05</v>
      </c>
      <c r="G102" s="4">
        <f t="shared" si="12"/>
        <v>-449.94999999999982</v>
      </c>
      <c r="H102" s="5">
        <f t="shared" si="13"/>
        <v>-8.6213834067829051E-2</v>
      </c>
      <c r="I102" t="str">
        <f t="shared" si="14"/>
        <v>under budget</v>
      </c>
    </row>
    <row r="103" spans="1:9" x14ac:dyDescent="0.25">
      <c r="A103" s="19">
        <v>46119</v>
      </c>
      <c r="B103" s="18" t="s">
        <v>22</v>
      </c>
      <c r="C103" s="18" t="s">
        <v>6</v>
      </c>
      <c r="D103" s="18" t="s">
        <v>11</v>
      </c>
      <c r="E103" s="3">
        <v>21908</v>
      </c>
      <c r="F103" s="3">
        <v>23532.27</v>
      </c>
      <c r="G103" s="4">
        <f t="shared" si="12"/>
        <v>1624.2700000000004</v>
      </c>
      <c r="H103" s="5">
        <f t="shared" si="13"/>
        <v>7.4140496622238469E-2</v>
      </c>
      <c r="I103" t="str">
        <f t="shared" si="14"/>
        <v>over budget</v>
      </c>
    </row>
    <row r="104" spans="1:9" x14ac:dyDescent="0.25">
      <c r="A104" s="19">
        <v>46120</v>
      </c>
      <c r="B104" s="18" t="s">
        <v>22</v>
      </c>
      <c r="C104" s="18" t="s">
        <v>7</v>
      </c>
      <c r="D104" s="18" t="s">
        <v>11</v>
      </c>
      <c r="E104" s="3">
        <v>33375</v>
      </c>
      <c r="F104" s="3">
        <v>35053.07</v>
      </c>
      <c r="G104" s="4">
        <f t="shared" si="12"/>
        <v>1678.0699999999997</v>
      </c>
      <c r="H104" s="5">
        <f t="shared" si="13"/>
        <v>5.0279250936329581E-2</v>
      </c>
      <c r="I104" t="str">
        <f t="shared" si="14"/>
        <v>over budget</v>
      </c>
    </row>
    <row r="105" spans="1:9" x14ac:dyDescent="0.25">
      <c r="A105" s="19">
        <v>46121</v>
      </c>
      <c r="B105" s="18" t="s">
        <v>22</v>
      </c>
      <c r="C105" s="18" t="s">
        <v>6</v>
      </c>
      <c r="D105" s="18" t="s">
        <v>14</v>
      </c>
      <c r="E105" s="3">
        <v>21860</v>
      </c>
      <c r="F105" s="3">
        <v>22295.69</v>
      </c>
      <c r="G105" s="4">
        <f t="shared" si="12"/>
        <v>435.68999999999869</v>
      </c>
      <c r="H105" s="5">
        <f t="shared" si="13"/>
        <v>1.9930924062214028E-2</v>
      </c>
      <c r="I105" t="str">
        <f t="shared" si="14"/>
        <v>over budget</v>
      </c>
    </row>
    <row r="106" spans="1:9" x14ac:dyDescent="0.25">
      <c r="A106" s="19">
        <v>46122</v>
      </c>
      <c r="B106" s="18" t="s">
        <v>22</v>
      </c>
      <c r="C106" s="18" t="s">
        <v>2</v>
      </c>
      <c r="D106" s="18" t="s">
        <v>14</v>
      </c>
      <c r="E106" s="3">
        <v>11828</v>
      </c>
      <c r="F106" s="3">
        <v>12586.86</v>
      </c>
      <c r="G106" s="4">
        <f t="shared" si="12"/>
        <v>758.86000000000058</v>
      </c>
      <c r="H106" s="5">
        <f t="shared" si="13"/>
        <v>6.4157930334798829E-2</v>
      </c>
      <c r="I106" t="str">
        <f t="shared" si="14"/>
        <v>over budget</v>
      </c>
    </row>
    <row r="107" spans="1:9" x14ac:dyDescent="0.25">
      <c r="A107" s="19">
        <v>46123</v>
      </c>
      <c r="B107" s="18" t="s">
        <v>22</v>
      </c>
      <c r="C107" s="18" t="s">
        <v>1</v>
      </c>
      <c r="D107" s="18" t="s">
        <v>14</v>
      </c>
      <c r="E107" s="3">
        <v>16050</v>
      </c>
      <c r="F107" s="3">
        <v>15808.95</v>
      </c>
      <c r="G107" s="4">
        <f t="shared" si="12"/>
        <v>-241.04999999999927</v>
      </c>
      <c r="H107" s="5">
        <f t="shared" si="13"/>
        <v>-1.5018691588785001E-2</v>
      </c>
      <c r="I107" t="str">
        <f t="shared" si="14"/>
        <v>under budget</v>
      </c>
    </row>
    <row r="108" spans="1:9" x14ac:dyDescent="0.25">
      <c r="A108" s="19">
        <v>46124</v>
      </c>
      <c r="B108" s="18" t="s">
        <v>22</v>
      </c>
      <c r="C108" s="18" t="s">
        <v>3</v>
      </c>
      <c r="D108" s="18" t="s">
        <v>10</v>
      </c>
      <c r="E108" s="3">
        <v>93160</v>
      </c>
      <c r="F108" s="3">
        <v>98569.77</v>
      </c>
      <c r="G108" s="4">
        <f t="shared" si="12"/>
        <v>5409.7700000000041</v>
      </c>
      <c r="H108" s="5">
        <f t="shared" si="13"/>
        <v>5.8069665092314343E-2</v>
      </c>
      <c r="I108" t="str">
        <f t="shared" si="14"/>
        <v>over budget</v>
      </c>
    </row>
    <row r="109" spans="1:9" x14ac:dyDescent="0.25">
      <c r="A109" s="19">
        <v>46125</v>
      </c>
      <c r="B109" s="18" t="s">
        <v>22</v>
      </c>
      <c r="C109" s="18" t="s">
        <v>2</v>
      </c>
      <c r="D109" s="18" t="s">
        <v>11</v>
      </c>
      <c r="E109" s="3">
        <v>37248</v>
      </c>
      <c r="F109" s="3">
        <v>36030.6</v>
      </c>
      <c r="G109" s="4">
        <f t="shared" si="12"/>
        <v>-1217.4000000000015</v>
      </c>
      <c r="H109" s="5">
        <f t="shared" si="13"/>
        <v>-3.2683634020618593E-2</v>
      </c>
      <c r="I109" t="str">
        <f t="shared" si="14"/>
        <v>under budget</v>
      </c>
    </row>
    <row r="110" spans="1:9" x14ac:dyDescent="0.25">
      <c r="A110" s="19">
        <v>46126</v>
      </c>
      <c r="B110" s="18" t="s">
        <v>22</v>
      </c>
      <c r="C110" s="18" t="s">
        <v>2</v>
      </c>
      <c r="D110" s="18" t="s">
        <v>15</v>
      </c>
      <c r="E110" s="3">
        <v>5730</v>
      </c>
      <c r="F110" s="3">
        <v>5519.34</v>
      </c>
      <c r="G110" s="4">
        <f t="shared" si="12"/>
        <v>-210.65999999999985</v>
      </c>
      <c r="H110" s="5">
        <f t="shared" si="13"/>
        <v>-3.6764397905759139E-2</v>
      </c>
      <c r="I110" t="str">
        <f t="shared" si="14"/>
        <v>under budget</v>
      </c>
    </row>
    <row r="111" spans="1:9" x14ac:dyDescent="0.25">
      <c r="A111" s="19">
        <v>46127</v>
      </c>
      <c r="B111" s="18" t="s">
        <v>22</v>
      </c>
      <c r="C111" s="18" t="s">
        <v>2</v>
      </c>
      <c r="D111" s="18" t="s">
        <v>11</v>
      </c>
      <c r="E111" s="3">
        <v>31705</v>
      </c>
      <c r="F111" s="3">
        <v>29550.2</v>
      </c>
      <c r="G111" s="4">
        <f t="shared" si="12"/>
        <v>-2154.7999999999993</v>
      </c>
      <c r="H111" s="5">
        <f t="shared" si="13"/>
        <v>-6.7964043526257664E-2</v>
      </c>
      <c r="I111" t="str">
        <f t="shared" si="14"/>
        <v>under budget</v>
      </c>
    </row>
    <row r="112" spans="1:9" x14ac:dyDescent="0.25">
      <c r="A112" s="19">
        <v>46128</v>
      </c>
      <c r="B112" s="18" t="s">
        <v>22</v>
      </c>
      <c r="C112" s="18" t="s">
        <v>5</v>
      </c>
      <c r="D112" s="18" t="s">
        <v>13</v>
      </c>
      <c r="E112" s="3">
        <v>9258</v>
      </c>
      <c r="F112" s="3">
        <v>9509.19</v>
      </c>
      <c r="G112" s="4">
        <f t="shared" si="12"/>
        <v>251.19000000000051</v>
      </c>
      <c r="H112" s="5">
        <f t="shared" si="13"/>
        <v>2.713220998055741E-2</v>
      </c>
      <c r="I112" t="str">
        <f t="shared" si="14"/>
        <v>over budget</v>
      </c>
    </row>
    <row r="113" spans="1:9" x14ac:dyDescent="0.25">
      <c r="A113" s="19">
        <v>46129</v>
      </c>
      <c r="B113" s="18" t="s">
        <v>22</v>
      </c>
      <c r="C113" s="18" t="s">
        <v>5</v>
      </c>
      <c r="D113" s="18" t="s">
        <v>12</v>
      </c>
      <c r="E113" s="3">
        <v>8689</v>
      </c>
      <c r="F113" s="3">
        <v>9402.56</v>
      </c>
      <c r="G113" s="4">
        <f t="shared" si="12"/>
        <v>713.55999999999949</v>
      </c>
      <c r="H113" s="5">
        <f t="shared" si="13"/>
        <v>8.2122223500978184E-2</v>
      </c>
      <c r="I113" t="str">
        <f t="shared" si="14"/>
        <v>over budget</v>
      </c>
    </row>
    <row r="114" spans="1:9" x14ac:dyDescent="0.25">
      <c r="A114" s="19">
        <v>46130</v>
      </c>
      <c r="B114" s="18" t="s">
        <v>22</v>
      </c>
      <c r="C114" s="18" t="s">
        <v>8</v>
      </c>
      <c r="D114" s="18" t="s">
        <v>17</v>
      </c>
      <c r="E114" s="3">
        <v>17984</v>
      </c>
      <c r="F114" s="3">
        <v>20076.14</v>
      </c>
      <c r="G114" s="4">
        <f t="shared" si="12"/>
        <v>2092.1399999999994</v>
      </c>
      <c r="H114" s="5">
        <f t="shared" si="13"/>
        <v>0.11633340747330957</v>
      </c>
      <c r="I114" t="str">
        <f t="shared" si="14"/>
        <v>over budget</v>
      </c>
    </row>
    <row r="115" spans="1:9" x14ac:dyDescent="0.25">
      <c r="A115" s="19">
        <v>46131</v>
      </c>
      <c r="B115" s="18" t="s">
        <v>22</v>
      </c>
      <c r="C115" s="18" t="s">
        <v>5</v>
      </c>
      <c r="D115" s="18" t="s">
        <v>14</v>
      </c>
      <c r="E115" s="3">
        <v>21313</v>
      </c>
      <c r="F115" s="3">
        <v>20537.34</v>
      </c>
      <c r="G115" s="4">
        <f t="shared" si="12"/>
        <v>-775.65999999999985</v>
      </c>
      <c r="H115" s="5">
        <f t="shared" si="13"/>
        <v>-3.6393750293248248E-2</v>
      </c>
      <c r="I115" t="str">
        <f t="shared" si="14"/>
        <v>under budget</v>
      </c>
    </row>
    <row r="116" spans="1:9" x14ac:dyDescent="0.25">
      <c r="A116" s="19">
        <v>46132</v>
      </c>
      <c r="B116" s="18" t="s">
        <v>22</v>
      </c>
      <c r="C116" s="18" t="s">
        <v>4</v>
      </c>
      <c r="D116" s="18" t="s">
        <v>12</v>
      </c>
      <c r="E116" s="3">
        <v>9585</v>
      </c>
      <c r="F116" s="3">
        <v>10049.01</v>
      </c>
      <c r="G116" s="4">
        <f t="shared" si="12"/>
        <v>464.01000000000022</v>
      </c>
      <c r="H116" s="5">
        <f t="shared" si="13"/>
        <v>4.8410015649452291E-2</v>
      </c>
      <c r="I116" t="str">
        <f t="shared" si="14"/>
        <v>over budget</v>
      </c>
    </row>
    <row r="117" spans="1:9" x14ac:dyDescent="0.25">
      <c r="A117" s="19">
        <v>46133</v>
      </c>
      <c r="B117" s="18" t="s">
        <v>22</v>
      </c>
      <c r="C117" s="18" t="s">
        <v>1</v>
      </c>
      <c r="D117" s="18" t="s">
        <v>16</v>
      </c>
      <c r="E117" s="3">
        <v>6223</v>
      </c>
      <c r="F117" s="3">
        <v>6244.12</v>
      </c>
      <c r="G117" s="4">
        <f t="shared" si="12"/>
        <v>21.119999999999891</v>
      </c>
      <c r="H117" s="5">
        <f t="shared" si="13"/>
        <v>3.3938614816004966E-3</v>
      </c>
      <c r="I117" t="str">
        <f t="shared" si="14"/>
        <v>over budget</v>
      </c>
    </row>
    <row r="118" spans="1:9" x14ac:dyDescent="0.25">
      <c r="A118" s="19">
        <v>46134</v>
      </c>
      <c r="B118" s="18" t="s">
        <v>22</v>
      </c>
      <c r="C118" s="18" t="s">
        <v>5</v>
      </c>
      <c r="D118" s="18" t="s">
        <v>17</v>
      </c>
      <c r="E118" s="3">
        <v>10866</v>
      </c>
      <c r="F118" s="3">
        <v>11878.3</v>
      </c>
      <c r="G118" s="4">
        <f t="shared" si="12"/>
        <v>1012.2999999999993</v>
      </c>
      <c r="H118" s="5">
        <f t="shared" si="13"/>
        <v>9.3162157187557451E-2</v>
      </c>
      <c r="I118" t="str">
        <f t="shared" si="14"/>
        <v>over budget</v>
      </c>
    </row>
    <row r="119" spans="1:9" x14ac:dyDescent="0.25">
      <c r="A119" s="19">
        <v>46135</v>
      </c>
      <c r="B119" s="18" t="s">
        <v>22</v>
      </c>
      <c r="C119" s="18" t="s">
        <v>4</v>
      </c>
      <c r="D119" s="18" t="s">
        <v>10</v>
      </c>
      <c r="E119" s="3">
        <v>61120</v>
      </c>
      <c r="F119" s="3">
        <v>66404.88</v>
      </c>
      <c r="G119" s="4">
        <f t="shared" si="12"/>
        <v>5284.8800000000047</v>
      </c>
      <c r="H119" s="5">
        <f t="shared" si="13"/>
        <v>8.6467277486911076E-2</v>
      </c>
      <c r="I119" t="str">
        <f t="shared" si="14"/>
        <v>over budget</v>
      </c>
    </row>
    <row r="120" spans="1:9" x14ac:dyDescent="0.25">
      <c r="A120" s="19">
        <v>46136</v>
      </c>
      <c r="B120" s="18" t="s">
        <v>22</v>
      </c>
      <c r="C120" s="18" t="s">
        <v>4</v>
      </c>
      <c r="D120" s="18" t="s">
        <v>16</v>
      </c>
      <c r="E120" s="3">
        <v>3228</v>
      </c>
      <c r="F120" s="3">
        <v>3357.86</v>
      </c>
      <c r="G120" s="4">
        <f t="shared" si="12"/>
        <v>129.86000000000013</v>
      </c>
      <c r="H120" s="5">
        <f t="shared" si="13"/>
        <v>4.022924411400252E-2</v>
      </c>
      <c r="I120" t="str">
        <f t="shared" si="14"/>
        <v>over budget</v>
      </c>
    </row>
    <row r="121" spans="1:9" x14ac:dyDescent="0.25">
      <c r="A121" s="19">
        <v>46137</v>
      </c>
      <c r="B121" s="18" t="s">
        <v>22</v>
      </c>
      <c r="C121" s="18" t="s">
        <v>7</v>
      </c>
      <c r="D121" s="18" t="s">
        <v>13</v>
      </c>
      <c r="E121" s="3">
        <v>7849</v>
      </c>
      <c r="F121" s="3">
        <v>7072.56</v>
      </c>
      <c r="G121" s="4">
        <f t="shared" si="12"/>
        <v>-776.4399999999996</v>
      </c>
      <c r="H121" s="5">
        <f t="shared" si="13"/>
        <v>-9.8922155688622698E-2</v>
      </c>
      <c r="I121" t="str">
        <f t="shared" si="14"/>
        <v>under budget</v>
      </c>
    </row>
    <row r="122" spans="1:9" x14ac:dyDescent="0.25">
      <c r="A122" s="19">
        <v>46138</v>
      </c>
      <c r="B122" s="18" t="s">
        <v>22</v>
      </c>
      <c r="C122" s="18" t="s">
        <v>3</v>
      </c>
      <c r="D122" s="18" t="s">
        <v>14</v>
      </c>
      <c r="E122" s="3">
        <v>12924</v>
      </c>
      <c r="F122" s="3">
        <v>12623.23</v>
      </c>
      <c r="G122" s="4">
        <f t="shared" si="12"/>
        <v>-300.77000000000044</v>
      </c>
      <c r="H122" s="5">
        <f t="shared" si="13"/>
        <v>-2.3272206747137144E-2</v>
      </c>
      <c r="I122" t="str">
        <f t="shared" si="14"/>
        <v>under budget</v>
      </c>
    </row>
    <row r="123" spans="1:9" x14ac:dyDescent="0.25">
      <c r="A123" s="19">
        <v>46139</v>
      </c>
      <c r="B123" s="18" t="s">
        <v>22</v>
      </c>
      <c r="C123" s="18" t="s">
        <v>3</v>
      </c>
      <c r="D123" s="18" t="s">
        <v>13</v>
      </c>
      <c r="E123" s="3">
        <v>9235</v>
      </c>
      <c r="F123" s="3">
        <v>9094.08</v>
      </c>
      <c r="G123" s="4">
        <f t="shared" si="12"/>
        <v>-140.92000000000007</v>
      </c>
      <c r="H123" s="5">
        <f t="shared" si="13"/>
        <v>-1.5259339469409862E-2</v>
      </c>
      <c r="I123" t="str">
        <f t="shared" si="14"/>
        <v>under budget</v>
      </c>
    </row>
    <row r="124" spans="1:9" x14ac:dyDescent="0.25">
      <c r="A124" s="19">
        <v>46140</v>
      </c>
      <c r="B124" s="18" t="s">
        <v>22</v>
      </c>
      <c r="C124" s="18" t="s">
        <v>6</v>
      </c>
      <c r="D124" s="18" t="s">
        <v>14</v>
      </c>
      <c r="E124" s="3">
        <v>11046</v>
      </c>
      <c r="F124" s="3">
        <v>10640.72</v>
      </c>
      <c r="G124" s="4">
        <f t="shared" si="12"/>
        <v>-405.28000000000065</v>
      </c>
      <c r="H124" s="5">
        <f t="shared" si="13"/>
        <v>-3.6690204598949908E-2</v>
      </c>
      <c r="I124" t="str">
        <f t="shared" si="14"/>
        <v>under budget</v>
      </c>
    </row>
    <row r="125" spans="1:9" x14ac:dyDescent="0.25">
      <c r="A125" s="19">
        <v>46141</v>
      </c>
      <c r="B125" s="18" t="s">
        <v>22</v>
      </c>
      <c r="C125" s="18" t="s">
        <v>2</v>
      </c>
      <c r="D125" s="18" t="s">
        <v>13</v>
      </c>
      <c r="E125" s="3">
        <v>7264</v>
      </c>
      <c r="F125" s="3">
        <v>7711.86</v>
      </c>
      <c r="G125" s="4">
        <f t="shared" si="12"/>
        <v>447.85999999999967</v>
      </c>
      <c r="H125" s="5">
        <f t="shared" si="13"/>
        <v>6.1654735682819338E-2</v>
      </c>
      <c r="I125" t="str">
        <f t="shared" si="14"/>
        <v>over budget</v>
      </c>
    </row>
    <row r="126" spans="1:9" x14ac:dyDescent="0.25">
      <c r="A126" s="19">
        <v>46142</v>
      </c>
      <c r="B126" s="18" t="s">
        <v>22</v>
      </c>
      <c r="C126" s="18" t="s">
        <v>5</v>
      </c>
      <c r="D126" s="18" t="s">
        <v>10</v>
      </c>
      <c r="E126" s="3">
        <v>120716</v>
      </c>
      <c r="F126" s="3">
        <v>131094.45000000001</v>
      </c>
      <c r="G126" s="4">
        <f t="shared" si="12"/>
        <v>10378.450000000012</v>
      </c>
      <c r="H126" s="5">
        <f t="shared" si="13"/>
        <v>8.5974104509758537E-2</v>
      </c>
      <c r="I126" t="str">
        <f t="shared" si="14"/>
        <v>over budget</v>
      </c>
    </row>
    <row r="127" spans="1:9" x14ac:dyDescent="0.25">
      <c r="A127" s="19">
        <v>46143</v>
      </c>
      <c r="B127" s="18" t="s">
        <v>23</v>
      </c>
      <c r="C127" s="18" t="s">
        <v>3</v>
      </c>
      <c r="D127" s="18" t="s">
        <v>15</v>
      </c>
      <c r="E127" s="3">
        <v>5326</v>
      </c>
      <c r="F127" s="3">
        <v>5068.63</v>
      </c>
      <c r="G127" s="4">
        <f t="shared" si="12"/>
        <v>-257.36999999999989</v>
      </c>
      <c r="H127" s="5">
        <f t="shared" si="13"/>
        <v>-4.8323319564401029E-2</v>
      </c>
      <c r="I127" t="str">
        <f t="shared" si="14"/>
        <v>under budget</v>
      </c>
    </row>
    <row r="128" spans="1:9" x14ac:dyDescent="0.25">
      <c r="A128" s="19">
        <v>46144</v>
      </c>
      <c r="B128" s="18" t="s">
        <v>23</v>
      </c>
      <c r="C128" s="18" t="s">
        <v>7</v>
      </c>
      <c r="D128" s="18" t="s">
        <v>16</v>
      </c>
      <c r="E128" s="3">
        <v>2103</v>
      </c>
      <c r="F128" s="3">
        <v>2027.92</v>
      </c>
      <c r="G128" s="4">
        <f t="shared" si="12"/>
        <v>-75.079999999999927</v>
      </c>
      <c r="H128" s="5">
        <f t="shared" si="13"/>
        <v>-3.5701378982406051E-2</v>
      </c>
      <c r="I128" t="str">
        <f t="shared" si="14"/>
        <v>under budget</v>
      </c>
    </row>
    <row r="129" spans="1:9" x14ac:dyDescent="0.25">
      <c r="A129" s="19">
        <v>46145</v>
      </c>
      <c r="B129" s="18" t="s">
        <v>23</v>
      </c>
      <c r="C129" s="18" t="s">
        <v>2</v>
      </c>
      <c r="D129" s="18" t="s">
        <v>15</v>
      </c>
      <c r="E129" s="3">
        <v>4109</v>
      </c>
      <c r="F129" s="3">
        <v>4372.93</v>
      </c>
      <c r="G129" s="4">
        <f t="shared" si="12"/>
        <v>263.93000000000029</v>
      </c>
      <c r="H129" s="5">
        <f t="shared" si="13"/>
        <v>6.4232173278169935E-2</v>
      </c>
      <c r="I129" t="str">
        <f t="shared" si="14"/>
        <v>over budget</v>
      </c>
    </row>
    <row r="130" spans="1:9" x14ac:dyDescent="0.25">
      <c r="A130" s="19">
        <v>46146</v>
      </c>
      <c r="B130" s="18" t="s">
        <v>23</v>
      </c>
      <c r="C130" s="18" t="s">
        <v>1</v>
      </c>
      <c r="D130" s="18" t="s">
        <v>17</v>
      </c>
      <c r="E130" s="3">
        <v>9617</v>
      </c>
      <c r="F130" s="3">
        <v>10023.06</v>
      </c>
      <c r="G130" s="4">
        <f t="shared" si="12"/>
        <v>406.05999999999949</v>
      </c>
      <c r="H130" s="5">
        <f t="shared" si="13"/>
        <v>4.2223146511386034E-2</v>
      </c>
      <c r="I130" t="str">
        <f t="shared" si="14"/>
        <v>over budget</v>
      </c>
    </row>
    <row r="131" spans="1:9" x14ac:dyDescent="0.25">
      <c r="A131" s="19">
        <v>46147</v>
      </c>
      <c r="B131" s="18" t="s">
        <v>23</v>
      </c>
      <c r="C131" s="18" t="s">
        <v>8</v>
      </c>
      <c r="D131" s="18" t="s">
        <v>11</v>
      </c>
      <c r="E131" s="3">
        <v>22169</v>
      </c>
      <c r="F131" s="3">
        <v>22396.16</v>
      </c>
      <c r="G131" s="4">
        <f t="shared" si="12"/>
        <v>227.15999999999985</v>
      </c>
      <c r="H131" s="5">
        <f t="shared" si="13"/>
        <v>1.0246740944562221E-2</v>
      </c>
      <c r="I131" t="str">
        <f t="shared" si="14"/>
        <v>over budget</v>
      </c>
    </row>
    <row r="132" spans="1:9" x14ac:dyDescent="0.25">
      <c r="A132" s="19">
        <v>46148</v>
      </c>
      <c r="B132" s="18" t="s">
        <v>23</v>
      </c>
      <c r="C132" s="18" t="s">
        <v>6</v>
      </c>
      <c r="D132" s="18" t="s">
        <v>11</v>
      </c>
      <c r="E132" s="3">
        <v>21796</v>
      </c>
      <c r="F132" s="3">
        <v>19619.37</v>
      </c>
      <c r="G132" s="4">
        <f t="shared" si="12"/>
        <v>-2176.630000000001</v>
      </c>
      <c r="H132" s="5">
        <f t="shared" si="13"/>
        <v>-9.9863736465406541E-2</v>
      </c>
      <c r="I132" t="str">
        <f t="shared" si="14"/>
        <v>under budget</v>
      </c>
    </row>
    <row r="133" spans="1:9" x14ac:dyDescent="0.25">
      <c r="A133" s="19">
        <v>46149</v>
      </c>
      <c r="B133" s="18" t="s">
        <v>23</v>
      </c>
      <c r="C133" s="18" t="s">
        <v>4</v>
      </c>
      <c r="D133" s="18" t="s">
        <v>13</v>
      </c>
      <c r="E133" s="3">
        <v>6931</v>
      </c>
      <c r="F133" s="3">
        <v>6609.76</v>
      </c>
      <c r="G133" s="4">
        <f t="shared" si="12"/>
        <v>-321.23999999999978</v>
      </c>
      <c r="H133" s="5">
        <f t="shared" si="13"/>
        <v>-4.6348290290001412E-2</v>
      </c>
      <c r="I133" t="str">
        <f t="shared" si="14"/>
        <v>under budget</v>
      </c>
    </row>
    <row r="134" spans="1:9" x14ac:dyDescent="0.25">
      <c r="A134" s="19">
        <v>46150</v>
      </c>
      <c r="B134" s="18" t="s">
        <v>23</v>
      </c>
      <c r="C134" s="18" t="s">
        <v>4</v>
      </c>
      <c r="D134" s="18" t="s">
        <v>13</v>
      </c>
      <c r="E134" s="3">
        <v>9189</v>
      </c>
      <c r="F134" s="3">
        <v>8407.6</v>
      </c>
      <c r="G134" s="4">
        <f t="shared" si="12"/>
        <v>-781.39999999999964</v>
      </c>
      <c r="H134" s="5">
        <f t="shared" si="13"/>
        <v>-8.5036456632930635E-2</v>
      </c>
      <c r="I134" t="str">
        <f t="shared" si="14"/>
        <v>under budget</v>
      </c>
    </row>
    <row r="135" spans="1:9" x14ac:dyDescent="0.25">
      <c r="A135" s="19">
        <v>46151</v>
      </c>
      <c r="B135" s="18" t="s">
        <v>23</v>
      </c>
      <c r="C135" s="18" t="s">
        <v>1</v>
      </c>
      <c r="D135" s="18" t="s">
        <v>13</v>
      </c>
      <c r="E135" s="3">
        <v>7937</v>
      </c>
      <c r="F135" s="3">
        <v>7611.27</v>
      </c>
      <c r="G135" s="4">
        <f t="shared" si="12"/>
        <v>-325.72999999999956</v>
      </c>
      <c r="H135" s="5">
        <f t="shared" si="13"/>
        <v>-4.1039435554995535E-2</v>
      </c>
      <c r="I135" t="str">
        <f t="shared" si="14"/>
        <v>under budget</v>
      </c>
    </row>
    <row r="136" spans="1:9" x14ac:dyDescent="0.25">
      <c r="A136" s="19">
        <v>46152</v>
      </c>
      <c r="B136" s="18" t="s">
        <v>23</v>
      </c>
      <c r="C136" s="18" t="s">
        <v>2</v>
      </c>
      <c r="D136" s="18" t="s">
        <v>16</v>
      </c>
      <c r="E136" s="3">
        <v>7027</v>
      </c>
      <c r="F136" s="3">
        <v>7184.41</v>
      </c>
      <c r="G136" s="4">
        <f t="shared" si="12"/>
        <v>157.40999999999985</v>
      </c>
      <c r="H136" s="5">
        <f t="shared" si="13"/>
        <v>2.2400740002846146E-2</v>
      </c>
      <c r="I136" t="str">
        <f t="shared" si="14"/>
        <v>over budget</v>
      </c>
    </row>
    <row r="137" spans="1:9" x14ac:dyDescent="0.25">
      <c r="A137" s="19">
        <v>46153</v>
      </c>
      <c r="B137" s="18" t="s">
        <v>23</v>
      </c>
      <c r="C137" s="18" t="s">
        <v>8</v>
      </c>
      <c r="D137" s="18" t="s">
        <v>11</v>
      </c>
      <c r="E137" s="3">
        <v>23756</v>
      </c>
      <c r="F137" s="3">
        <v>26531.29</v>
      </c>
      <c r="G137" s="4">
        <f t="shared" ref="G137:G167" si="15">F137-E137</f>
        <v>2775.2900000000009</v>
      </c>
      <c r="H137" s="5">
        <f t="shared" ref="H137:H167" si="16">IFERROR(G137/E137,0)</f>
        <v>0.11682480215524503</v>
      </c>
      <c r="I137" t="str">
        <f t="shared" ref="I137:I167" si="17">IF(G137&gt;0,"over budget","under budget")</f>
        <v>over budget</v>
      </c>
    </row>
    <row r="138" spans="1:9" x14ac:dyDescent="0.25">
      <c r="A138" s="19">
        <v>46154</v>
      </c>
      <c r="B138" s="18" t="s">
        <v>23</v>
      </c>
      <c r="C138" s="18" t="s">
        <v>7</v>
      </c>
      <c r="D138" s="18" t="s">
        <v>16</v>
      </c>
      <c r="E138" s="3">
        <v>4092</v>
      </c>
      <c r="F138" s="3">
        <v>4116.0200000000004</v>
      </c>
      <c r="G138" s="4">
        <f t="shared" si="15"/>
        <v>24.020000000000437</v>
      </c>
      <c r="H138" s="5">
        <f t="shared" si="16"/>
        <v>5.8699902248290411E-3</v>
      </c>
      <c r="I138" t="str">
        <f t="shared" si="17"/>
        <v>over budget</v>
      </c>
    </row>
    <row r="139" spans="1:9" x14ac:dyDescent="0.25">
      <c r="A139" s="19">
        <v>46155</v>
      </c>
      <c r="B139" s="18" t="s">
        <v>23</v>
      </c>
      <c r="C139" s="18" t="s">
        <v>7</v>
      </c>
      <c r="D139" s="18" t="s">
        <v>12</v>
      </c>
      <c r="E139" s="3">
        <v>3340</v>
      </c>
      <c r="F139" s="3">
        <v>3301.15</v>
      </c>
      <c r="G139" s="4">
        <f t="shared" si="15"/>
        <v>-38.849999999999909</v>
      </c>
      <c r="H139" s="5">
        <f t="shared" si="16"/>
        <v>-1.1631736526946081E-2</v>
      </c>
      <c r="I139" t="str">
        <f t="shared" si="17"/>
        <v>under budget</v>
      </c>
    </row>
    <row r="140" spans="1:9" x14ac:dyDescent="0.25">
      <c r="A140" s="19">
        <v>46156</v>
      </c>
      <c r="B140" s="18" t="s">
        <v>23</v>
      </c>
      <c r="C140" s="18" t="s">
        <v>7</v>
      </c>
      <c r="D140" s="18" t="s">
        <v>11</v>
      </c>
      <c r="E140" s="3">
        <v>42372</v>
      </c>
      <c r="F140" s="3">
        <v>40740.6</v>
      </c>
      <c r="G140" s="4">
        <f t="shared" si="15"/>
        <v>-1631.4000000000015</v>
      </c>
      <c r="H140" s="5">
        <f t="shared" si="16"/>
        <v>-3.8501840838289468E-2</v>
      </c>
      <c r="I140" t="str">
        <f t="shared" si="17"/>
        <v>under budget</v>
      </c>
    </row>
    <row r="141" spans="1:9" x14ac:dyDescent="0.25">
      <c r="A141" s="19">
        <v>46157</v>
      </c>
      <c r="B141" s="18" t="s">
        <v>23</v>
      </c>
      <c r="C141" s="18" t="s">
        <v>7</v>
      </c>
      <c r="D141" s="18" t="s">
        <v>13</v>
      </c>
      <c r="E141" s="3">
        <v>4437</v>
      </c>
      <c r="F141" s="3">
        <v>4219.38</v>
      </c>
      <c r="G141" s="4">
        <f t="shared" si="15"/>
        <v>-217.61999999999989</v>
      </c>
      <c r="H141" s="5">
        <f t="shared" si="16"/>
        <v>-4.9046653144016204E-2</v>
      </c>
      <c r="I141" t="str">
        <f t="shared" si="17"/>
        <v>under budget</v>
      </c>
    </row>
    <row r="142" spans="1:9" x14ac:dyDescent="0.25">
      <c r="A142" s="19">
        <v>46158</v>
      </c>
      <c r="B142" s="18" t="s">
        <v>23</v>
      </c>
      <c r="C142" s="18" t="s">
        <v>1</v>
      </c>
      <c r="D142" s="18" t="s">
        <v>14</v>
      </c>
      <c r="E142" s="3">
        <v>18435</v>
      </c>
      <c r="F142" s="3">
        <v>19378.95</v>
      </c>
      <c r="G142" s="4">
        <f t="shared" si="15"/>
        <v>943.95000000000073</v>
      </c>
      <c r="H142" s="5">
        <f t="shared" si="16"/>
        <v>5.1204231082180675E-2</v>
      </c>
      <c r="I142" t="str">
        <f t="shared" si="17"/>
        <v>over budget</v>
      </c>
    </row>
    <row r="143" spans="1:9" x14ac:dyDescent="0.25">
      <c r="A143" s="19">
        <v>46159</v>
      </c>
      <c r="B143" s="18" t="s">
        <v>23</v>
      </c>
      <c r="C143" s="18" t="s">
        <v>8</v>
      </c>
      <c r="D143" s="18" t="s">
        <v>17</v>
      </c>
      <c r="E143" s="3">
        <v>9886</v>
      </c>
      <c r="F143" s="3">
        <v>10897.84</v>
      </c>
      <c r="G143" s="4">
        <f t="shared" si="15"/>
        <v>1011.8400000000001</v>
      </c>
      <c r="H143" s="5">
        <f t="shared" si="16"/>
        <v>0.10235079910985233</v>
      </c>
      <c r="I143" t="str">
        <f t="shared" si="17"/>
        <v>over budget</v>
      </c>
    </row>
    <row r="144" spans="1:9" x14ac:dyDescent="0.25">
      <c r="A144" s="19">
        <v>46160</v>
      </c>
      <c r="B144" s="18" t="s">
        <v>23</v>
      </c>
      <c r="C144" s="18" t="s">
        <v>2</v>
      </c>
      <c r="D144" s="18" t="s">
        <v>11</v>
      </c>
      <c r="E144" s="3">
        <v>35129</v>
      </c>
      <c r="F144" s="3">
        <v>37525.089999999997</v>
      </c>
      <c r="G144" s="4">
        <f t="shared" si="15"/>
        <v>2396.0899999999965</v>
      </c>
      <c r="H144" s="5">
        <f t="shared" si="16"/>
        <v>6.8208317913974109E-2</v>
      </c>
      <c r="I144" t="str">
        <f t="shared" si="17"/>
        <v>over budget</v>
      </c>
    </row>
    <row r="145" spans="1:9" x14ac:dyDescent="0.25">
      <c r="A145" s="19">
        <v>46161</v>
      </c>
      <c r="B145" s="18" t="s">
        <v>23</v>
      </c>
      <c r="C145" s="18" t="s">
        <v>6</v>
      </c>
      <c r="D145" s="18" t="s">
        <v>15</v>
      </c>
      <c r="E145" s="3">
        <v>9646</v>
      </c>
      <c r="F145" s="3">
        <v>10233.14</v>
      </c>
      <c r="G145" s="4">
        <f t="shared" si="15"/>
        <v>587.13999999999942</v>
      </c>
      <c r="H145" s="5">
        <f t="shared" si="16"/>
        <v>6.0868753887621752E-2</v>
      </c>
      <c r="I145" t="str">
        <f t="shared" si="17"/>
        <v>over budget</v>
      </c>
    </row>
    <row r="146" spans="1:9" x14ac:dyDescent="0.25">
      <c r="A146" s="19">
        <v>46162</v>
      </c>
      <c r="B146" s="18" t="s">
        <v>23</v>
      </c>
      <c r="C146" s="18" t="s">
        <v>6</v>
      </c>
      <c r="D146" s="18" t="s">
        <v>17</v>
      </c>
      <c r="E146" s="3">
        <v>21201</v>
      </c>
      <c r="F146" s="3">
        <v>22826.67</v>
      </c>
      <c r="G146" s="4">
        <f t="shared" si="15"/>
        <v>1625.6699999999983</v>
      </c>
      <c r="H146" s="5">
        <f t="shared" si="16"/>
        <v>7.6678930239139576E-2</v>
      </c>
      <c r="I146" t="str">
        <f t="shared" si="17"/>
        <v>over budget</v>
      </c>
    </row>
    <row r="147" spans="1:9" x14ac:dyDescent="0.25">
      <c r="A147" s="19">
        <v>46163</v>
      </c>
      <c r="B147" s="18" t="s">
        <v>23</v>
      </c>
      <c r="C147" s="18" t="s">
        <v>7</v>
      </c>
      <c r="D147" s="18" t="s">
        <v>11</v>
      </c>
      <c r="E147" s="3">
        <v>27125</v>
      </c>
      <c r="F147" s="3">
        <v>27078.21</v>
      </c>
      <c r="G147" s="4">
        <f t="shared" si="15"/>
        <v>-46.790000000000873</v>
      </c>
      <c r="H147" s="5">
        <f t="shared" si="16"/>
        <v>-1.7249769585253778E-3</v>
      </c>
      <c r="I147" t="str">
        <f t="shared" si="17"/>
        <v>under budget</v>
      </c>
    </row>
    <row r="148" spans="1:9" x14ac:dyDescent="0.25">
      <c r="A148" s="19">
        <v>46164</v>
      </c>
      <c r="B148" s="18" t="s">
        <v>23</v>
      </c>
      <c r="C148" s="18" t="s">
        <v>5</v>
      </c>
      <c r="D148" s="18" t="s">
        <v>16</v>
      </c>
      <c r="E148" s="3">
        <v>7732</v>
      </c>
      <c r="F148" s="3">
        <v>7926.01</v>
      </c>
      <c r="G148" s="4">
        <f t="shared" si="15"/>
        <v>194.01000000000022</v>
      </c>
      <c r="H148" s="5">
        <f t="shared" si="16"/>
        <v>2.5091826176927085E-2</v>
      </c>
      <c r="I148" t="str">
        <f t="shared" si="17"/>
        <v>over budget</v>
      </c>
    </row>
    <row r="149" spans="1:9" x14ac:dyDescent="0.25">
      <c r="A149" s="19">
        <v>46165</v>
      </c>
      <c r="B149" s="18" t="s">
        <v>23</v>
      </c>
      <c r="C149" s="18" t="s">
        <v>5</v>
      </c>
      <c r="D149" s="18" t="s">
        <v>17</v>
      </c>
      <c r="E149" s="3">
        <v>9884</v>
      </c>
      <c r="F149" s="3">
        <v>10848.34</v>
      </c>
      <c r="G149" s="4">
        <f t="shared" si="15"/>
        <v>964.34000000000015</v>
      </c>
      <c r="H149" s="5">
        <f t="shared" si="16"/>
        <v>9.7565762849048984E-2</v>
      </c>
      <c r="I149" t="str">
        <f t="shared" si="17"/>
        <v>over budget</v>
      </c>
    </row>
    <row r="150" spans="1:9" x14ac:dyDescent="0.25">
      <c r="A150" s="19">
        <v>46166</v>
      </c>
      <c r="B150" s="18" t="s">
        <v>23</v>
      </c>
      <c r="C150" s="18" t="s">
        <v>6</v>
      </c>
      <c r="D150" s="18" t="s">
        <v>12</v>
      </c>
      <c r="E150" s="3">
        <v>2273</v>
      </c>
      <c r="F150" s="3">
        <v>2294.4499999999998</v>
      </c>
      <c r="G150" s="4">
        <f t="shared" si="15"/>
        <v>21.449999999999818</v>
      </c>
      <c r="H150" s="5">
        <f t="shared" si="16"/>
        <v>9.4368675758908123E-3</v>
      </c>
      <c r="I150" t="str">
        <f t="shared" si="17"/>
        <v>over budget</v>
      </c>
    </row>
    <row r="151" spans="1:9" x14ac:dyDescent="0.25">
      <c r="A151" s="19">
        <v>46167</v>
      </c>
      <c r="B151" s="18" t="s">
        <v>23</v>
      </c>
      <c r="C151" s="18" t="s">
        <v>5</v>
      </c>
      <c r="D151" s="18" t="s">
        <v>10</v>
      </c>
      <c r="E151" s="3">
        <v>77246</v>
      </c>
      <c r="F151" s="3">
        <v>79660.19</v>
      </c>
      <c r="G151" s="4">
        <f t="shared" si="15"/>
        <v>2414.1900000000023</v>
      </c>
      <c r="H151" s="5">
        <f t="shared" si="16"/>
        <v>3.1253268777671366E-2</v>
      </c>
      <c r="I151" t="str">
        <f t="shared" si="17"/>
        <v>over budget</v>
      </c>
    </row>
    <row r="152" spans="1:9" x14ac:dyDescent="0.25">
      <c r="A152" s="19">
        <v>46168</v>
      </c>
      <c r="B152" s="18" t="s">
        <v>23</v>
      </c>
      <c r="C152" s="18" t="s">
        <v>8</v>
      </c>
      <c r="D152" s="18" t="s">
        <v>10</v>
      </c>
      <c r="E152" s="3">
        <v>53899</v>
      </c>
      <c r="F152" s="3">
        <v>53218.35</v>
      </c>
      <c r="G152" s="4">
        <f t="shared" si="15"/>
        <v>-680.65000000000146</v>
      </c>
      <c r="H152" s="5">
        <f t="shared" si="16"/>
        <v>-1.2628249132636996E-2</v>
      </c>
      <c r="I152" t="str">
        <f t="shared" si="17"/>
        <v>under budget</v>
      </c>
    </row>
    <row r="153" spans="1:9" x14ac:dyDescent="0.25">
      <c r="A153" s="19">
        <v>46169</v>
      </c>
      <c r="B153" s="18" t="s">
        <v>23</v>
      </c>
      <c r="C153" s="18" t="s">
        <v>4</v>
      </c>
      <c r="D153" s="18" t="s">
        <v>13</v>
      </c>
      <c r="E153" s="3">
        <v>3827</v>
      </c>
      <c r="F153" s="3">
        <v>3887.07</v>
      </c>
      <c r="G153" s="4">
        <f t="shared" si="15"/>
        <v>60.070000000000164</v>
      </c>
      <c r="H153" s="5">
        <f t="shared" si="16"/>
        <v>1.5696367912202813E-2</v>
      </c>
      <c r="I153" t="str">
        <f t="shared" si="17"/>
        <v>over budget</v>
      </c>
    </row>
    <row r="154" spans="1:9" x14ac:dyDescent="0.25">
      <c r="A154" s="19">
        <v>46170</v>
      </c>
      <c r="B154" s="18" t="s">
        <v>23</v>
      </c>
      <c r="C154" s="18" t="s">
        <v>4</v>
      </c>
      <c r="D154" s="18" t="s">
        <v>14</v>
      </c>
      <c r="E154" s="3">
        <v>18235</v>
      </c>
      <c r="F154" s="3">
        <v>16648.59</v>
      </c>
      <c r="G154" s="4">
        <f t="shared" si="15"/>
        <v>-1586.4099999999999</v>
      </c>
      <c r="H154" s="5">
        <f t="shared" si="16"/>
        <v>-8.6998080614203444E-2</v>
      </c>
      <c r="I154" t="str">
        <f t="shared" si="17"/>
        <v>under budget</v>
      </c>
    </row>
    <row r="155" spans="1:9" x14ac:dyDescent="0.25">
      <c r="A155" s="19">
        <v>46171</v>
      </c>
      <c r="B155" s="18" t="s">
        <v>23</v>
      </c>
      <c r="C155" s="18" t="s">
        <v>7</v>
      </c>
      <c r="D155" s="18" t="s">
        <v>17</v>
      </c>
      <c r="E155" s="3">
        <v>12530</v>
      </c>
      <c r="F155" s="3">
        <v>12385.08</v>
      </c>
      <c r="G155" s="4">
        <f t="shared" si="15"/>
        <v>-144.92000000000007</v>
      </c>
      <c r="H155" s="5">
        <f t="shared" si="16"/>
        <v>-1.1565841979249807E-2</v>
      </c>
      <c r="I155" t="str">
        <f t="shared" si="17"/>
        <v>under budget</v>
      </c>
    </row>
    <row r="156" spans="1:9" x14ac:dyDescent="0.25">
      <c r="A156" s="19">
        <v>46172</v>
      </c>
      <c r="B156" s="18" t="s">
        <v>23</v>
      </c>
      <c r="C156" s="18" t="s">
        <v>2</v>
      </c>
      <c r="D156" s="18" t="s">
        <v>10</v>
      </c>
      <c r="E156" s="3">
        <v>55053</v>
      </c>
      <c r="F156" s="3">
        <v>53143.11</v>
      </c>
      <c r="G156" s="4">
        <f t="shared" si="15"/>
        <v>-1909.8899999999994</v>
      </c>
      <c r="H156" s="5">
        <f t="shared" si="16"/>
        <v>-3.4691842406408359E-2</v>
      </c>
      <c r="I156" t="str">
        <f t="shared" si="17"/>
        <v>under budget</v>
      </c>
    </row>
    <row r="157" spans="1:9" x14ac:dyDescent="0.25">
      <c r="A157" s="19">
        <v>46174</v>
      </c>
      <c r="B157" s="18" t="s">
        <v>24</v>
      </c>
      <c r="C157" s="18" t="s">
        <v>6</v>
      </c>
      <c r="D157" s="18" t="s">
        <v>11</v>
      </c>
      <c r="E157" s="3">
        <v>19573</v>
      </c>
      <c r="F157" s="3">
        <v>19066.62</v>
      </c>
      <c r="G157" s="4">
        <f t="shared" si="15"/>
        <v>-506.38000000000102</v>
      </c>
      <c r="H157" s="5">
        <f t="shared" si="16"/>
        <v>-2.5871353394982935E-2</v>
      </c>
      <c r="I157" t="str">
        <f t="shared" si="17"/>
        <v>under budget</v>
      </c>
    </row>
    <row r="158" spans="1:9" x14ac:dyDescent="0.25">
      <c r="A158" s="19">
        <v>46175</v>
      </c>
      <c r="B158" s="18" t="s">
        <v>24</v>
      </c>
      <c r="C158" s="18" t="s">
        <v>5</v>
      </c>
      <c r="D158" s="18" t="s">
        <v>11</v>
      </c>
      <c r="E158" s="3">
        <v>20567</v>
      </c>
      <c r="F158" s="3">
        <v>19497.849999999999</v>
      </c>
      <c r="G158" s="4">
        <f t="shared" si="15"/>
        <v>-1069.1500000000015</v>
      </c>
      <c r="H158" s="5">
        <f t="shared" si="16"/>
        <v>-5.198376039286242E-2</v>
      </c>
      <c r="I158" t="str">
        <f t="shared" si="17"/>
        <v>under budget</v>
      </c>
    </row>
    <row r="159" spans="1:9" x14ac:dyDescent="0.25">
      <c r="A159" s="19">
        <v>46176</v>
      </c>
      <c r="B159" s="18" t="s">
        <v>24</v>
      </c>
      <c r="C159" s="18" t="s">
        <v>3</v>
      </c>
      <c r="D159" s="18" t="s">
        <v>12</v>
      </c>
      <c r="E159" s="3">
        <v>7751</v>
      </c>
      <c r="F159" s="3">
        <v>8109.29</v>
      </c>
      <c r="G159" s="4">
        <f t="shared" si="15"/>
        <v>358.28999999999996</v>
      </c>
      <c r="H159" s="5">
        <f t="shared" si="16"/>
        <v>4.622500322539027E-2</v>
      </c>
      <c r="I159" t="str">
        <f t="shared" si="17"/>
        <v>over budget</v>
      </c>
    </row>
    <row r="160" spans="1:9" x14ac:dyDescent="0.25">
      <c r="A160" s="19">
        <v>46177</v>
      </c>
      <c r="B160" s="18" t="s">
        <v>24</v>
      </c>
      <c r="C160" s="18" t="s">
        <v>2</v>
      </c>
      <c r="D160" s="18" t="s">
        <v>13</v>
      </c>
      <c r="E160" s="3">
        <v>5069</v>
      </c>
      <c r="F160" s="3">
        <v>4818.6400000000003</v>
      </c>
      <c r="G160" s="4">
        <f t="shared" si="15"/>
        <v>-250.35999999999967</v>
      </c>
      <c r="H160" s="5">
        <f t="shared" si="16"/>
        <v>-4.9390412310120271E-2</v>
      </c>
      <c r="I160" t="str">
        <f t="shared" si="17"/>
        <v>under budget</v>
      </c>
    </row>
    <row r="161" spans="1:9" x14ac:dyDescent="0.25">
      <c r="A161" s="19">
        <v>46178</v>
      </c>
      <c r="B161" s="18" t="s">
        <v>24</v>
      </c>
      <c r="C161" s="18" t="s">
        <v>2</v>
      </c>
      <c r="D161" s="18" t="s">
        <v>10</v>
      </c>
      <c r="E161" s="3">
        <v>77718</v>
      </c>
      <c r="F161" s="3">
        <v>79533.070000000007</v>
      </c>
      <c r="G161" s="4">
        <f t="shared" si="15"/>
        <v>1815.070000000007</v>
      </c>
      <c r="H161" s="5">
        <f t="shared" si="16"/>
        <v>2.3354563936282546E-2</v>
      </c>
      <c r="I161" t="str">
        <f t="shared" si="17"/>
        <v>over budget</v>
      </c>
    </row>
    <row r="162" spans="1:9" x14ac:dyDescent="0.25">
      <c r="A162" s="19">
        <v>46179</v>
      </c>
      <c r="B162" s="18" t="s">
        <v>24</v>
      </c>
      <c r="C162" s="18" t="s">
        <v>6</v>
      </c>
      <c r="D162" s="18" t="s">
        <v>14</v>
      </c>
      <c r="E162" s="3">
        <v>16908</v>
      </c>
      <c r="F162" s="3">
        <v>16058.67</v>
      </c>
      <c r="G162" s="4">
        <f t="shared" si="15"/>
        <v>-849.32999999999993</v>
      </c>
      <c r="H162" s="5">
        <f t="shared" si="16"/>
        <v>-5.0232434350603261E-2</v>
      </c>
      <c r="I162" t="str">
        <f t="shared" si="17"/>
        <v>under budget</v>
      </c>
    </row>
    <row r="163" spans="1:9" x14ac:dyDescent="0.25">
      <c r="A163" s="19">
        <v>46180</v>
      </c>
      <c r="B163" s="18" t="s">
        <v>24</v>
      </c>
      <c r="C163" s="18" t="s">
        <v>8</v>
      </c>
      <c r="D163" s="18" t="s">
        <v>14</v>
      </c>
      <c r="E163" s="3">
        <v>13458</v>
      </c>
      <c r="F163" s="3">
        <v>14771.06</v>
      </c>
      <c r="G163" s="4">
        <f t="shared" si="15"/>
        <v>1313.0599999999995</v>
      </c>
      <c r="H163" s="5">
        <f t="shared" si="16"/>
        <v>9.7567246247585046E-2</v>
      </c>
      <c r="I163" t="str">
        <f t="shared" si="17"/>
        <v>over budget</v>
      </c>
    </row>
    <row r="164" spans="1:9" x14ac:dyDescent="0.25">
      <c r="A164" s="19">
        <v>46181</v>
      </c>
      <c r="B164" s="18" t="s">
        <v>24</v>
      </c>
      <c r="C164" s="18" t="s">
        <v>4</v>
      </c>
      <c r="D164" s="18" t="s">
        <v>17</v>
      </c>
      <c r="E164" s="3">
        <v>19519</v>
      </c>
      <c r="F164" s="3">
        <v>17945.07</v>
      </c>
      <c r="G164" s="4">
        <f t="shared" si="15"/>
        <v>-1573.9300000000003</v>
      </c>
      <c r="H164" s="5">
        <f t="shared" si="16"/>
        <v>-8.0635790767969687E-2</v>
      </c>
      <c r="I164" t="str">
        <f t="shared" si="17"/>
        <v>under budget</v>
      </c>
    </row>
    <row r="165" spans="1:9" x14ac:dyDescent="0.25">
      <c r="A165" s="19">
        <v>46182</v>
      </c>
      <c r="B165" s="18" t="s">
        <v>24</v>
      </c>
      <c r="C165" s="18" t="s">
        <v>4</v>
      </c>
      <c r="D165" s="18" t="s">
        <v>15</v>
      </c>
      <c r="E165" s="3">
        <v>2178</v>
      </c>
      <c r="F165" s="3">
        <v>2019.25</v>
      </c>
      <c r="G165" s="4">
        <f t="shared" si="15"/>
        <v>-158.75</v>
      </c>
      <c r="H165" s="5">
        <f t="shared" si="16"/>
        <v>-7.2887970615243339E-2</v>
      </c>
      <c r="I165" t="str">
        <f t="shared" si="17"/>
        <v>under budget</v>
      </c>
    </row>
    <row r="166" spans="1:9" x14ac:dyDescent="0.25">
      <c r="A166" s="19">
        <v>46183</v>
      </c>
      <c r="B166" s="18" t="s">
        <v>24</v>
      </c>
      <c r="C166" s="18" t="s">
        <v>4</v>
      </c>
      <c r="D166" s="18" t="s">
        <v>14</v>
      </c>
      <c r="E166" s="3">
        <v>15472</v>
      </c>
      <c r="F166" s="3">
        <v>16632.48</v>
      </c>
      <c r="G166" s="4">
        <f t="shared" si="15"/>
        <v>1160.4799999999996</v>
      </c>
      <c r="H166" s="5">
        <f t="shared" si="16"/>
        <v>7.5005170630816936E-2</v>
      </c>
      <c r="I166" t="str">
        <f t="shared" si="17"/>
        <v>over budget</v>
      </c>
    </row>
    <row r="167" spans="1:9" x14ac:dyDescent="0.25">
      <c r="A167" s="19">
        <v>46184</v>
      </c>
      <c r="B167" s="18" t="s">
        <v>24</v>
      </c>
      <c r="C167" s="18" t="s">
        <v>1</v>
      </c>
      <c r="D167" s="18" t="s">
        <v>13</v>
      </c>
      <c r="E167" s="3">
        <v>6424</v>
      </c>
      <c r="F167" s="3">
        <v>6847.7</v>
      </c>
      <c r="G167" s="4">
        <f t="shared" si="15"/>
        <v>423.69999999999982</v>
      </c>
      <c r="H167" s="5">
        <f t="shared" si="16"/>
        <v>6.5955790784557877E-2</v>
      </c>
      <c r="I167" t="str">
        <f t="shared" si="17"/>
        <v>over budget</v>
      </c>
    </row>
    <row r="168" spans="1:9" x14ac:dyDescent="0.25">
      <c r="A168" s="19">
        <v>46185</v>
      </c>
      <c r="B168" s="18" t="s">
        <v>24</v>
      </c>
      <c r="C168" s="18" t="s">
        <v>1</v>
      </c>
      <c r="D168" s="18" t="s">
        <v>16</v>
      </c>
      <c r="E168" s="3">
        <v>3904</v>
      </c>
      <c r="F168" s="3">
        <v>3700.89</v>
      </c>
      <c r="G168" s="4">
        <f t="shared" ref="G168:G201" si="18">F168-E168</f>
        <v>-203.11000000000013</v>
      </c>
      <c r="H168" s="5">
        <f t="shared" ref="H168:H201" si="19">IFERROR(G168/E168,0)</f>
        <v>-5.202612704918036E-2</v>
      </c>
      <c r="I168" t="str">
        <f t="shared" ref="I168:I201" si="20">IF(G168&gt;0,"over budget","under budget")</f>
        <v>under budget</v>
      </c>
    </row>
    <row r="169" spans="1:9" x14ac:dyDescent="0.25">
      <c r="A169" s="19">
        <v>46186</v>
      </c>
      <c r="B169" s="18" t="s">
        <v>24</v>
      </c>
      <c r="C169" s="18" t="s">
        <v>5</v>
      </c>
      <c r="D169" s="18" t="s">
        <v>16</v>
      </c>
      <c r="E169" s="3">
        <v>4928</v>
      </c>
      <c r="F169" s="3">
        <v>5156.16</v>
      </c>
      <c r="G169" s="4">
        <f t="shared" si="18"/>
        <v>228.15999999999985</v>
      </c>
      <c r="H169" s="5">
        <f t="shared" si="19"/>
        <v>4.629870129870127E-2</v>
      </c>
      <c r="I169" t="str">
        <f t="shared" si="20"/>
        <v>over budget</v>
      </c>
    </row>
    <row r="170" spans="1:9" x14ac:dyDescent="0.25">
      <c r="A170" s="19">
        <v>46187</v>
      </c>
      <c r="B170" s="18" t="s">
        <v>24</v>
      </c>
      <c r="C170" s="18" t="s">
        <v>2</v>
      </c>
      <c r="D170" s="18" t="s">
        <v>11</v>
      </c>
      <c r="E170" s="3">
        <v>35960</v>
      </c>
      <c r="F170" s="3">
        <v>37320.93</v>
      </c>
      <c r="G170" s="4">
        <f t="shared" si="18"/>
        <v>1360.9300000000003</v>
      </c>
      <c r="H170" s="5">
        <f t="shared" si="19"/>
        <v>3.7845661846496112E-2</v>
      </c>
      <c r="I170" t="str">
        <f t="shared" si="20"/>
        <v>over budget</v>
      </c>
    </row>
    <row r="171" spans="1:9" x14ac:dyDescent="0.25">
      <c r="A171" s="19">
        <v>46188</v>
      </c>
      <c r="B171" s="18" t="s">
        <v>24</v>
      </c>
      <c r="C171" s="18" t="s">
        <v>5</v>
      </c>
      <c r="D171" s="18" t="s">
        <v>12</v>
      </c>
      <c r="E171" s="3">
        <v>6740</v>
      </c>
      <c r="F171" s="3">
        <v>6768.94</v>
      </c>
      <c r="G171" s="4">
        <f t="shared" si="18"/>
        <v>28.9399999999996</v>
      </c>
      <c r="H171" s="5">
        <f t="shared" si="19"/>
        <v>4.293768545994006E-3</v>
      </c>
      <c r="I171" t="str">
        <f t="shared" si="20"/>
        <v>over budget</v>
      </c>
    </row>
    <row r="172" spans="1:9" x14ac:dyDescent="0.25">
      <c r="A172" s="19">
        <v>46189</v>
      </c>
      <c r="B172" s="18" t="s">
        <v>24</v>
      </c>
      <c r="C172" s="18" t="s">
        <v>3</v>
      </c>
      <c r="D172" s="18" t="s">
        <v>17</v>
      </c>
      <c r="E172" s="3">
        <v>13521</v>
      </c>
      <c r="F172" s="3">
        <v>14032.76</v>
      </c>
      <c r="G172" s="4">
        <f t="shared" si="18"/>
        <v>511.76000000000022</v>
      </c>
      <c r="H172" s="5">
        <f t="shared" si="19"/>
        <v>3.784927150358703E-2</v>
      </c>
      <c r="I172" t="str">
        <f t="shared" si="20"/>
        <v>over budget</v>
      </c>
    </row>
    <row r="173" spans="1:9" x14ac:dyDescent="0.25">
      <c r="A173" s="19">
        <v>46190</v>
      </c>
      <c r="B173" s="18" t="s">
        <v>24</v>
      </c>
      <c r="C173" s="18" t="s">
        <v>3</v>
      </c>
      <c r="D173" s="18" t="s">
        <v>15</v>
      </c>
      <c r="E173" s="3">
        <v>7044</v>
      </c>
      <c r="F173" s="3">
        <v>6969.73</v>
      </c>
      <c r="G173" s="4">
        <f t="shared" si="18"/>
        <v>-74.270000000000437</v>
      </c>
      <c r="H173" s="5">
        <f t="shared" si="19"/>
        <v>-1.0543725156161334E-2</v>
      </c>
      <c r="I173" t="str">
        <f t="shared" si="20"/>
        <v>under budget</v>
      </c>
    </row>
    <row r="174" spans="1:9" x14ac:dyDescent="0.25">
      <c r="A174" s="19">
        <v>46191</v>
      </c>
      <c r="B174" s="18" t="s">
        <v>24</v>
      </c>
      <c r="C174" s="18" t="s">
        <v>5</v>
      </c>
      <c r="D174" s="18" t="s">
        <v>11</v>
      </c>
      <c r="E174" s="3">
        <v>43575</v>
      </c>
      <c r="F174" s="3">
        <v>40136.959999999999</v>
      </c>
      <c r="G174" s="4">
        <f t="shared" si="18"/>
        <v>-3438.0400000000009</v>
      </c>
      <c r="H174" s="5">
        <f t="shared" si="19"/>
        <v>-7.8899368904188208E-2</v>
      </c>
      <c r="I174" t="str">
        <f t="shared" si="20"/>
        <v>under budget</v>
      </c>
    </row>
    <row r="175" spans="1:9" x14ac:dyDescent="0.25">
      <c r="A175" s="19">
        <v>46192</v>
      </c>
      <c r="B175" s="18" t="s">
        <v>24</v>
      </c>
      <c r="C175" s="18" t="s">
        <v>8</v>
      </c>
      <c r="D175" s="18" t="s">
        <v>16</v>
      </c>
      <c r="E175" s="3">
        <v>5850</v>
      </c>
      <c r="F175" s="3">
        <v>5934.64</v>
      </c>
      <c r="G175" s="4">
        <f t="shared" si="18"/>
        <v>84.640000000000327</v>
      </c>
      <c r="H175" s="5">
        <f t="shared" si="19"/>
        <v>1.4468376068376124E-2</v>
      </c>
      <c r="I175" t="str">
        <f t="shared" si="20"/>
        <v>over budget</v>
      </c>
    </row>
    <row r="176" spans="1:9" x14ac:dyDescent="0.25">
      <c r="A176" s="19">
        <v>46193</v>
      </c>
      <c r="B176" s="18" t="s">
        <v>24</v>
      </c>
      <c r="C176" s="18" t="s">
        <v>7</v>
      </c>
      <c r="D176" s="18" t="s">
        <v>11</v>
      </c>
      <c r="E176" s="3">
        <v>20998</v>
      </c>
      <c r="F176" s="3">
        <v>20804.400000000001</v>
      </c>
      <c r="G176" s="4">
        <f t="shared" si="18"/>
        <v>-193.59999999999854</v>
      </c>
      <c r="H176" s="5">
        <f t="shared" si="19"/>
        <v>-9.2199257072101415E-3</v>
      </c>
      <c r="I176" t="str">
        <f t="shared" si="20"/>
        <v>under budget</v>
      </c>
    </row>
    <row r="177" spans="1:9" x14ac:dyDescent="0.25">
      <c r="A177" s="19">
        <v>46194</v>
      </c>
      <c r="B177" s="18" t="s">
        <v>24</v>
      </c>
      <c r="C177" s="18" t="s">
        <v>3</v>
      </c>
      <c r="D177" s="18" t="s">
        <v>15</v>
      </c>
      <c r="E177" s="3">
        <v>8577</v>
      </c>
      <c r="F177" s="3">
        <v>7967.56</v>
      </c>
      <c r="G177" s="4">
        <f t="shared" si="18"/>
        <v>-609.4399999999996</v>
      </c>
      <c r="H177" s="5">
        <f t="shared" si="19"/>
        <v>-7.1055147487466427E-2</v>
      </c>
      <c r="I177" t="str">
        <f t="shared" si="20"/>
        <v>under budget</v>
      </c>
    </row>
    <row r="178" spans="1:9" x14ac:dyDescent="0.25">
      <c r="A178" s="19">
        <v>46195</v>
      </c>
      <c r="B178" s="18" t="s">
        <v>24</v>
      </c>
      <c r="C178" s="18" t="s">
        <v>6</v>
      </c>
      <c r="D178" s="18" t="s">
        <v>12</v>
      </c>
      <c r="E178" s="3">
        <v>6513</v>
      </c>
      <c r="F178" s="3">
        <v>6622.08</v>
      </c>
      <c r="G178" s="4">
        <f t="shared" si="18"/>
        <v>109.07999999999993</v>
      </c>
      <c r="H178" s="5">
        <f t="shared" si="19"/>
        <v>1.6748042376784882E-2</v>
      </c>
      <c r="I178" t="str">
        <f t="shared" si="20"/>
        <v>over budget</v>
      </c>
    </row>
    <row r="179" spans="1:9" x14ac:dyDescent="0.25">
      <c r="A179" s="19">
        <v>46196</v>
      </c>
      <c r="B179" s="18" t="s">
        <v>24</v>
      </c>
      <c r="C179" s="18" t="s">
        <v>6</v>
      </c>
      <c r="D179" s="18" t="s">
        <v>11</v>
      </c>
      <c r="E179" s="3">
        <v>43276</v>
      </c>
      <c r="F179" s="3">
        <v>40347.96</v>
      </c>
      <c r="G179" s="4">
        <f t="shared" si="18"/>
        <v>-2928.0400000000009</v>
      </c>
      <c r="H179" s="5">
        <f t="shared" si="19"/>
        <v>-6.7659672797855647E-2</v>
      </c>
      <c r="I179" t="str">
        <f t="shared" si="20"/>
        <v>under budget</v>
      </c>
    </row>
    <row r="180" spans="1:9" x14ac:dyDescent="0.25">
      <c r="A180" s="19">
        <v>46197</v>
      </c>
      <c r="B180" s="18" t="s">
        <v>24</v>
      </c>
      <c r="C180" s="18" t="s">
        <v>1</v>
      </c>
      <c r="D180" s="18" t="s">
        <v>14</v>
      </c>
      <c r="E180" s="3">
        <v>17271</v>
      </c>
      <c r="F180" s="3">
        <v>15757.76</v>
      </c>
      <c r="G180" s="4">
        <f t="shared" si="18"/>
        <v>-1513.2399999999998</v>
      </c>
      <c r="H180" s="5">
        <f t="shared" si="19"/>
        <v>-8.7617393318279183E-2</v>
      </c>
      <c r="I180" t="str">
        <f t="shared" si="20"/>
        <v>under budget</v>
      </c>
    </row>
    <row r="181" spans="1:9" x14ac:dyDescent="0.25">
      <c r="A181" s="19">
        <v>46198</v>
      </c>
      <c r="B181" s="18" t="s">
        <v>24</v>
      </c>
      <c r="C181" s="18" t="s">
        <v>7</v>
      </c>
      <c r="D181" s="18" t="s">
        <v>13</v>
      </c>
      <c r="E181" s="3">
        <v>3537</v>
      </c>
      <c r="F181" s="3">
        <v>3593.83</v>
      </c>
      <c r="G181" s="4">
        <f t="shared" si="18"/>
        <v>56.829999999999927</v>
      </c>
      <c r="H181" s="5">
        <f t="shared" si="19"/>
        <v>1.6067288662708488E-2</v>
      </c>
      <c r="I181" t="str">
        <f t="shared" si="20"/>
        <v>over budget</v>
      </c>
    </row>
    <row r="182" spans="1:9" x14ac:dyDescent="0.25">
      <c r="A182" s="19">
        <v>46199</v>
      </c>
      <c r="B182" s="18" t="s">
        <v>24</v>
      </c>
      <c r="C182" s="18" t="s">
        <v>3</v>
      </c>
      <c r="D182" s="18" t="s">
        <v>12</v>
      </c>
      <c r="E182" s="3">
        <v>4245</v>
      </c>
      <c r="F182" s="3">
        <v>4328.79</v>
      </c>
      <c r="G182" s="4">
        <f t="shared" si="18"/>
        <v>83.789999999999964</v>
      </c>
      <c r="H182" s="5">
        <f t="shared" si="19"/>
        <v>1.9738515901060062E-2</v>
      </c>
      <c r="I182" t="str">
        <f t="shared" si="20"/>
        <v>over budget</v>
      </c>
    </row>
    <row r="183" spans="1:9" x14ac:dyDescent="0.25">
      <c r="A183" s="19">
        <v>46200</v>
      </c>
      <c r="B183" s="18" t="s">
        <v>24</v>
      </c>
      <c r="C183" s="18" t="s">
        <v>7</v>
      </c>
      <c r="D183" s="18" t="s">
        <v>13</v>
      </c>
      <c r="E183" s="3">
        <v>9680</v>
      </c>
      <c r="F183" s="3">
        <v>10522.83</v>
      </c>
      <c r="G183" s="4">
        <f t="shared" si="18"/>
        <v>842.82999999999993</v>
      </c>
      <c r="H183" s="5">
        <f t="shared" si="19"/>
        <v>8.7069214876033044E-2</v>
      </c>
      <c r="I183" t="str">
        <f t="shared" si="20"/>
        <v>over budget</v>
      </c>
    </row>
    <row r="184" spans="1:9" x14ac:dyDescent="0.25">
      <c r="A184" s="19">
        <v>46201</v>
      </c>
      <c r="B184" s="18" t="s">
        <v>24</v>
      </c>
      <c r="C184" s="18" t="s">
        <v>2</v>
      </c>
      <c r="D184" s="18" t="s">
        <v>10</v>
      </c>
      <c r="E184" s="3">
        <v>84042</v>
      </c>
      <c r="F184" s="3">
        <v>90519.1</v>
      </c>
      <c r="G184" s="4">
        <f t="shared" si="18"/>
        <v>6477.1000000000058</v>
      </c>
      <c r="H184" s="5">
        <f t="shared" si="19"/>
        <v>7.7069798434116349E-2</v>
      </c>
      <c r="I184" t="str">
        <f t="shared" si="20"/>
        <v>over budget</v>
      </c>
    </row>
    <row r="185" spans="1:9" x14ac:dyDescent="0.25">
      <c r="A185" s="19">
        <v>46202</v>
      </c>
      <c r="B185" s="18" t="s">
        <v>24</v>
      </c>
      <c r="C185" s="18" t="s">
        <v>1</v>
      </c>
      <c r="D185" s="18" t="s">
        <v>12</v>
      </c>
      <c r="E185" s="3">
        <v>7198</v>
      </c>
      <c r="F185" s="3">
        <v>6613.81</v>
      </c>
      <c r="G185" s="4">
        <f t="shared" si="18"/>
        <v>-584.1899999999996</v>
      </c>
      <c r="H185" s="5">
        <f t="shared" si="19"/>
        <v>-8.1160044456793493E-2</v>
      </c>
      <c r="I185" t="str">
        <f t="shared" si="20"/>
        <v>under budget</v>
      </c>
    </row>
    <row r="186" spans="1:9" x14ac:dyDescent="0.25">
      <c r="A186" s="19">
        <v>46203</v>
      </c>
      <c r="B186" s="18" t="s">
        <v>24</v>
      </c>
      <c r="C186" s="18" t="s">
        <v>5</v>
      </c>
      <c r="D186" s="18" t="s">
        <v>10</v>
      </c>
      <c r="E186" s="3">
        <v>64665</v>
      </c>
      <c r="F186" s="3">
        <v>62664.25</v>
      </c>
      <c r="G186" s="4">
        <f t="shared" si="18"/>
        <v>-2000.75</v>
      </c>
      <c r="H186" s="5">
        <f t="shared" si="19"/>
        <v>-3.0940230418309751E-2</v>
      </c>
      <c r="I186" t="str">
        <f t="shared" si="20"/>
        <v>under budget</v>
      </c>
    </row>
    <row r="187" spans="1:9" x14ac:dyDescent="0.25">
      <c r="A187" s="19">
        <v>46204</v>
      </c>
      <c r="B187" s="18" t="s">
        <v>25</v>
      </c>
      <c r="C187" s="18" t="s">
        <v>5</v>
      </c>
      <c r="D187" s="18" t="s">
        <v>12</v>
      </c>
      <c r="E187" s="3">
        <v>4445</v>
      </c>
      <c r="F187" s="3">
        <v>4799.99</v>
      </c>
      <c r="G187" s="4">
        <f t="shared" si="18"/>
        <v>354.98999999999978</v>
      </c>
      <c r="H187" s="5">
        <f t="shared" si="19"/>
        <v>7.9862767154105688E-2</v>
      </c>
      <c r="I187" t="str">
        <f t="shared" si="20"/>
        <v>over budget</v>
      </c>
    </row>
    <row r="188" spans="1:9" x14ac:dyDescent="0.25">
      <c r="A188" s="19">
        <v>46205</v>
      </c>
      <c r="B188" s="18" t="s">
        <v>25</v>
      </c>
      <c r="C188" s="18" t="s">
        <v>5</v>
      </c>
      <c r="D188" s="18" t="s">
        <v>11</v>
      </c>
      <c r="E188" s="3">
        <v>22463</v>
      </c>
      <c r="F188" s="3">
        <v>24107.13</v>
      </c>
      <c r="G188" s="4">
        <f t="shared" si="18"/>
        <v>1644.130000000001</v>
      </c>
      <c r="H188" s="5">
        <f t="shared" si="19"/>
        <v>7.3192805947558254E-2</v>
      </c>
      <c r="I188" t="str">
        <f t="shared" si="20"/>
        <v>over budget</v>
      </c>
    </row>
    <row r="189" spans="1:9" x14ac:dyDescent="0.25">
      <c r="A189" s="19">
        <v>46206</v>
      </c>
      <c r="B189" s="18" t="s">
        <v>25</v>
      </c>
      <c r="C189" s="18" t="s">
        <v>4</v>
      </c>
      <c r="D189" s="18" t="s">
        <v>13</v>
      </c>
      <c r="E189" s="3">
        <v>3303</v>
      </c>
      <c r="F189" s="3">
        <v>3302.98</v>
      </c>
      <c r="G189" s="4">
        <f t="shared" si="18"/>
        <v>-1.999999999998181E-2</v>
      </c>
      <c r="H189" s="5">
        <f t="shared" si="19"/>
        <v>-6.0551014229433272E-6</v>
      </c>
      <c r="I189" t="str">
        <f t="shared" si="20"/>
        <v>under budget</v>
      </c>
    </row>
    <row r="190" spans="1:9" x14ac:dyDescent="0.25">
      <c r="A190" s="19">
        <v>46207</v>
      </c>
      <c r="B190" s="18" t="s">
        <v>25</v>
      </c>
      <c r="C190" s="18" t="s">
        <v>5</v>
      </c>
      <c r="D190" s="18" t="s">
        <v>16</v>
      </c>
      <c r="E190" s="3">
        <v>2020</v>
      </c>
      <c r="F190" s="3">
        <v>1889.12</v>
      </c>
      <c r="G190" s="4">
        <f t="shared" si="18"/>
        <v>-130.88000000000011</v>
      </c>
      <c r="H190" s="5">
        <f t="shared" si="19"/>
        <v>-6.479207920792085E-2</v>
      </c>
      <c r="I190" t="str">
        <f t="shared" si="20"/>
        <v>under budget</v>
      </c>
    </row>
    <row r="191" spans="1:9" x14ac:dyDescent="0.25">
      <c r="A191" s="19">
        <v>46208</v>
      </c>
      <c r="B191" s="18" t="s">
        <v>25</v>
      </c>
      <c r="C191" s="18" t="s">
        <v>8</v>
      </c>
      <c r="D191" s="18" t="s">
        <v>16</v>
      </c>
      <c r="E191" s="3">
        <v>4463</v>
      </c>
      <c r="F191" s="3">
        <v>4103.2700000000004</v>
      </c>
      <c r="G191" s="4">
        <f t="shared" si="18"/>
        <v>-359.72999999999956</v>
      </c>
      <c r="H191" s="5">
        <f t="shared" si="19"/>
        <v>-8.0602733587273032E-2</v>
      </c>
      <c r="I191" t="str">
        <f t="shared" si="20"/>
        <v>under budget</v>
      </c>
    </row>
    <row r="192" spans="1:9" x14ac:dyDescent="0.25">
      <c r="A192" s="19">
        <v>46209</v>
      </c>
      <c r="B192" s="18" t="s">
        <v>25</v>
      </c>
      <c r="C192" s="18" t="s">
        <v>2</v>
      </c>
      <c r="D192" s="18" t="s">
        <v>14</v>
      </c>
      <c r="E192" s="3">
        <v>17987</v>
      </c>
      <c r="F192" s="3">
        <v>19726.189999999999</v>
      </c>
      <c r="G192" s="4">
        <f t="shared" si="18"/>
        <v>1739.1899999999987</v>
      </c>
      <c r="H192" s="5">
        <f t="shared" si="19"/>
        <v>9.6691499416244997E-2</v>
      </c>
      <c r="I192" t="str">
        <f t="shared" si="20"/>
        <v>over budget</v>
      </c>
    </row>
    <row r="193" spans="1:9" x14ac:dyDescent="0.25">
      <c r="A193" s="19">
        <v>46210</v>
      </c>
      <c r="B193" s="18" t="s">
        <v>25</v>
      </c>
      <c r="C193" s="18" t="s">
        <v>3</v>
      </c>
      <c r="D193" s="18" t="s">
        <v>17</v>
      </c>
      <c r="E193" s="3">
        <v>17429</v>
      </c>
      <c r="F193" s="3">
        <v>18610.04</v>
      </c>
      <c r="G193" s="4">
        <f t="shared" si="18"/>
        <v>1181.0400000000009</v>
      </c>
      <c r="H193" s="5">
        <f t="shared" si="19"/>
        <v>6.7762923862528024E-2</v>
      </c>
      <c r="I193" t="str">
        <f t="shared" si="20"/>
        <v>over budget</v>
      </c>
    </row>
    <row r="194" spans="1:9" x14ac:dyDescent="0.25">
      <c r="A194" s="19">
        <v>46211</v>
      </c>
      <c r="B194" s="18" t="s">
        <v>25</v>
      </c>
      <c r="C194" s="18" t="s">
        <v>7</v>
      </c>
      <c r="D194" s="18" t="s">
        <v>17</v>
      </c>
      <c r="E194" s="3">
        <v>17358</v>
      </c>
      <c r="F194" s="3">
        <v>18844.77</v>
      </c>
      <c r="G194" s="4">
        <f t="shared" si="18"/>
        <v>1486.7700000000004</v>
      </c>
      <c r="H194" s="5">
        <f t="shared" si="19"/>
        <v>8.5653301071552043E-2</v>
      </c>
      <c r="I194" t="str">
        <f t="shared" si="20"/>
        <v>over budget</v>
      </c>
    </row>
    <row r="195" spans="1:9" x14ac:dyDescent="0.25">
      <c r="A195" s="19">
        <v>46212</v>
      </c>
      <c r="B195" s="18" t="s">
        <v>25</v>
      </c>
      <c r="C195" s="18" t="s">
        <v>3</v>
      </c>
      <c r="D195" s="18" t="s">
        <v>15</v>
      </c>
      <c r="E195" s="3">
        <v>4531</v>
      </c>
      <c r="F195" s="3">
        <v>4495.45</v>
      </c>
      <c r="G195" s="4">
        <f t="shared" si="18"/>
        <v>-35.550000000000182</v>
      </c>
      <c r="H195" s="5">
        <f t="shared" si="19"/>
        <v>-7.8459501213860479E-3</v>
      </c>
      <c r="I195" t="str">
        <f t="shared" si="20"/>
        <v>under budget</v>
      </c>
    </row>
    <row r="196" spans="1:9" x14ac:dyDescent="0.25">
      <c r="A196" s="19">
        <v>46213</v>
      </c>
      <c r="B196" s="18" t="s">
        <v>25</v>
      </c>
      <c r="C196" s="18" t="s">
        <v>1</v>
      </c>
      <c r="D196" s="18" t="s">
        <v>17</v>
      </c>
      <c r="E196" s="3">
        <v>21355</v>
      </c>
      <c r="F196" s="3">
        <v>19751.97</v>
      </c>
      <c r="G196" s="4">
        <f t="shared" si="18"/>
        <v>-1603.0299999999988</v>
      </c>
      <c r="H196" s="5">
        <f t="shared" si="19"/>
        <v>-7.506579255443685E-2</v>
      </c>
      <c r="I196" t="str">
        <f t="shared" si="20"/>
        <v>under budget</v>
      </c>
    </row>
    <row r="197" spans="1:9" x14ac:dyDescent="0.25">
      <c r="A197" s="19">
        <v>46214</v>
      </c>
      <c r="B197" s="18" t="s">
        <v>25</v>
      </c>
      <c r="C197" s="18" t="s">
        <v>8</v>
      </c>
      <c r="D197" s="18" t="s">
        <v>12</v>
      </c>
      <c r="E197" s="3">
        <v>5721</v>
      </c>
      <c r="F197" s="3">
        <v>6085.96</v>
      </c>
      <c r="G197" s="4">
        <f t="shared" si="18"/>
        <v>364.96000000000004</v>
      </c>
      <c r="H197" s="5">
        <f t="shared" si="19"/>
        <v>6.3793043174270245E-2</v>
      </c>
      <c r="I197" t="str">
        <f t="shared" si="20"/>
        <v>over budget</v>
      </c>
    </row>
    <row r="198" spans="1:9" x14ac:dyDescent="0.25">
      <c r="A198" s="19">
        <v>46215</v>
      </c>
      <c r="B198" s="18" t="s">
        <v>25</v>
      </c>
      <c r="C198" s="18" t="s">
        <v>6</v>
      </c>
      <c r="D198" s="18" t="s">
        <v>14</v>
      </c>
      <c r="E198" s="3">
        <v>16487</v>
      </c>
      <c r="F198" s="3">
        <v>18138.16</v>
      </c>
      <c r="G198" s="4">
        <f t="shared" si="18"/>
        <v>1651.1599999999999</v>
      </c>
      <c r="H198" s="5">
        <f t="shared" si="19"/>
        <v>0.10014920846727723</v>
      </c>
      <c r="I198" t="str">
        <f t="shared" si="20"/>
        <v>over budget</v>
      </c>
    </row>
    <row r="199" spans="1:9" x14ac:dyDescent="0.25">
      <c r="A199" s="19">
        <v>46216</v>
      </c>
      <c r="B199" s="18" t="s">
        <v>25</v>
      </c>
      <c r="C199" s="18" t="s">
        <v>8</v>
      </c>
      <c r="D199" s="18" t="s">
        <v>10</v>
      </c>
      <c r="E199" s="3">
        <v>94910</v>
      </c>
      <c r="F199" s="3">
        <v>96584.91</v>
      </c>
      <c r="G199" s="4">
        <f t="shared" si="18"/>
        <v>1674.9100000000035</v>
      </c>
      <c r="H199" s="5">
        <f t="shared" si="19"/>
        <v>1.7647350121167457E-2</v>
      </c>
      <c r="I199" t="str">
        <f t="shared" si="20"/>
        <v>over budget</v>
      </c>
    </row>
    <row r="200" spans="1:9" x14ac:dyDescent="0.25">
      <c r="A200" s="19">
        <v>46217</v>
      </c>
      <c r="B200" s="18" t="s">
        <v>25</v>
      </c>
      <c r="C200" s="18" t="s">
        <v>5</v>
      </c>
      <c r="D200" s="18" t="s">
        <v>15</v>
      </c>
      <c r="E200" s="3">
        <v>7771</v>
      </c>
      <c r="F200" s="3">
        <v>8606.06</v>
      </c>
      <c r="G200" s="4">
        <f t="shared" si="18"/>
        <v>835.05999999999949</v>
      </c>
      <c r="H200" s="5">
        <f t="shared" si="19"/>
        <v>0.10745849954960746</v>
      </c>
      <c r="I200" t="str">
        <f t="shared" si="20"/>
        <v>over budget</v>
      </c>
    </row>
    <row r="201" spans="1:9" x14ac:dyDescent="0.25">
      <c r="A201" s="19">
        <v>46218</v>
      </c>
      <c r="B201" s="18" t="s">
        <v>25</v>
      </c>
      <c r="C201" s="18" t="s">
        <v>2</v>
      </c>
      <c r="D201" s="18" t="s">
        <v>12</v>
      </c>
      <c r="E201" s="3">
        <v>3047</v>
      </c>
      <c r="F201" s="3">
        <v>3216.51</v>
      </c>
      <c r="G201" s="4">
        <f t="shared" si="18"/>
        <v>169.51000000000022</v>
      </c>
      <c r="H201" s="5">
        <f t="shared" si="19"/>
        <v>5.5631768953068664E-2</v>
      </c>
      <c r="I201" t="str">
        <f t="shared" si="20"/>
        <v>over budget</v>
      </c>
    </row>
    <row r="202" spans="1:9" x14ac:dyDescent="0.25">
      <c r="A202" s="19">
        <v>46219</v>
      </c>
      <c r="B202" s="18" t="s">
        <v>25</v>
      </c>
      <c r="C202" s="18" t="s">
        <v>1</v>
      </c>
      <c r="D202" s="18" t="s">
        <v>14</v>
      </c>
      <c r="E202" s="3">
        <v>11086</v>
      </c>
      <c r="F202" s="3">
        <v>10523.65</v>
      </c>
      <c r="G202" s="4">
        <f t="shared" ref="G202:G230" si="21">F202-E202</f>
        <v>-562.35000000000036</v>
      </c>
      <c r="H202" s="5">
        <f t="shared" ref="H202:H230" si="22">IFERROR(G202/E202,0)</f>
        <v>-5.0726141078838209E-2</v>
      </c>
      <c r="I202" t="str">
        <f t="shared" ref="I202:I230" si="23">IF(G202&gt;0,"over budget","under budget")</f>
        <v>under budget</v>
      </c>
    </row>
    <row r="203" spans="1:9" x14ac:dyDescent="0.25">
      <c r="A203" s="19">
        <v>46220</v>
      </c>
      <c r="B203" s="18" t="s">
        <v>25</v>
      </c>
      <c r="C203" s="18" t="s">
        <v>3</v>
      </c>
      <c r="D203" s="18" t="s">
        <v>16</v>
      </c>
      <c r="E203" s="3">
        <v>5893</v>
      </c>
      <c r="F203" s="3">
        <v>6509.35</v>
      </c>
      <c r="G203" s="4">
        <f t="shared" si="21"/>
        <v>616.35000000000036</v>
      </c>
      <c r="H203" s="5">
        <f t="shared" si="22"/>
        <v>0.10459019175292726</v>
      </c>
      <c r="I203" t="str">
        <f t="shared" si="23"/>
        <v>over budget</v>
      </c>
    </row>
    <row r="204" spans="1:9" x14ac:dyDescent="0.25">
      <c r="A204" s="19">
        <v>46221</v>
      </c>
      <c r="B204" s="18" t="s">
        <v>25</v>
      </c>
      <c r="C204" s="18" t="s">
        <v>8</v>
      </c>
      <c r="D204" s="18" t="s">
        <v>16</v>
      </c>
      <c r="E204" s="3">
        <v>8735</v>
      </c>
      <c r="F204" s="3">
        <v>8345.02</v>
      </c>
      <c r="G204" s="4">
        <f t="shared" si="21"/>
        <v>-389.97999999999956</v>
      </c>
      <c r="H204" s="5">
        <f t="shared" si="22"/>
        <v>-4.4645678305666806E-2</v>
      </c>
      <c r="I204" t="str">
        <f t="shared" si="23"/>
        <v>under budget</v>
      </c>
    </row>
    <row r="205" spans="1:9" x14ac:dyDescent="0.25">
      <c r="A205" s="19">
        <v>46222</v>
      </c>
      <c r="B205" s="18" t="s">
        <v>25</v>
      </c>
      <c r="C205" s="18" t="s">
        <v>7</v>
      </c>
      <c r="D205" s="18" t="s">
        <v>11</v>
      </c>
      <c r="E205" s="3">
        <v>44928</v>
      </c>
      <c r="F205" s="3">
        <v>45773.79</v>
      </c>
      <c r="G205" s="4">
        <f t="shared" si="21"/>
        <v>845.79000000000087</v>
      </c>
      <c r="H205" s="5">
        <f t="shared" si="22"/>
        <v>1.8825454059829078E-2</v>
      </c>
      <c r="I205" t="str">
        <f t="shared" si="23"/>
        <v>over budget</v>
      </c>
    </row>
    <row r="206" spans="1:9" x14ac:dyDescent="0.25">
      <c r="A206" s="19">
        <v>46223</v>
      </c>
      <c r="B206" s="18" t="s">
        <v>25</v>
      </c>
      <c r="C206" s="18" t="s">
        <v>8</v>
      </c>
      <c r="D206" s="18" t="s">
        <v>15</v>
      </c>
      <c r="E206" s="3">
        <v>7413</v>
      </c>
      <c r="F206" s="3">
        <v>7734.73</v>
      </c>
      <c r="G206" s="4">
        <f t="shared" si="21"/>
        <v>321.72999999999956</v>
      </c>
      <c r="H206" s="5">
        <f t="shared" si="22"/>
        <v>4.3400782409280934E-2</v>
      </c>
      <c r="I206" t="str">
        <f t="shared" si="23"/>
        <v>over budget</v>
      </c>
    </row>
    <row r="207" spans="1:9" x14ac:dyDescent="0.25">
      <c r="A207" s="19">
        <v>46224</v>
      </c>
      <c r="B207" s="18" t="s">
        <v>25</v>
      </c>
      <c r="C207" s="18" t="s">
        <v>5</v>
      </c>
      <c r="D207" s="18" t="s">
        <v>11</v>
      </c>
      <c r="E207" s="3">
        <v>19933</v>
      </c>
      <c r="F207" s="3">
        <v>19075.14</v>
      </c>
      <c r="G207" s="4">
        <f t="shared" si="21"/>
        <v>-857.86000000000058</v>
      </c>
      <c r="H207" s="5">
        <f t="shared" si="22"/>
        <v>-4.3037174534691247E-2</v>
      </c>
      <c r="I207" t="str">
        <f t="shared" si="23"/>
        <v>under budget</v>
      </c>
    </row>
    <row r="208" spans="1:9" x14ac:dyDescent="0.25">
      <c r="A208" s="19">
        <v>46225</v>
      </c>
      <c r="B208" s="18" t="s">
        <v>25</v>
      </c>
      <c r="C208" s="18" t="s">
        <v>2</v>
      </c>
      <c r="D208" s="18" t="s">
        <v>14</v>
      </c>
      <c r="E208" s="3">
        <v>13194</v>
      </c>
      <c r="F208" s="3">
        <v>13016.73</v>
      </c>
      <c r="G208" s="4">
        <f t="shared" si="21"/>
        <v>-177.27000000000044</v>
      </c>
      <c r="H208" s="5">
        <f t="shared" si="22"/>
        <v>-1.3435652569349737E-2</v>
      </c>
      <c r="I208" t="str">
        <f t="shared" si="23"/>
        <v>under budget</v>
      </c>
    </row>
    <row r="209" spans="1:9" x14ac:dyDescent="0.25">
      <c r="A209" s="19">
        <v>46226</v>
      </c>
      <c r="B209" s="18" t="s">
        <v>25</v>
      </c>
      <c r="C209" s="18" t="s">
        <v>7</v>
      </c>
      <c r="D209" s="18" t="s">
        <v>13</v>
      </c>
      <c r="E209" s="3">
        <v>2264</v>
      </c>
      <c r="F209" s="3">
        <v>2179.48</v>
      </c>
      <c r="G209" s="4">
        <f t="shared" si="21"/>
        <v>-84.519999999999982</v>
      </c>
      <c r="H209" s="5">
        <f t="shared" si="22"/>
        <v>-3.7332155477031795E-2</v>
      </c>
      <c r="I209" t="str">
        <f t="shared" si="23"/>
        <v>under budget</v>
      </c>
    </row>
    <row r="210" spans="1:9" x14ac:dyDescent="0.25">
      <c r="A210" s="19">
        <v>46227</v>
      </c>
      <c r="B210" s="18" t="s">
        <v>25</v>
      </c>
      <c r="C210" s="18" t="s">
        <v>6</v>
      </c>
      <c r="D210" s="18" t="s">
        <v>17</v>
      </c>
      <c r="E210" s="3">
        <v>15088</v>
      </c>
      <c r="F210" s="3">
        <v>16678</v>
      </c>
      <c r="G210" s="4">
        <f t="shared" si="21"/>
        <v>1590</v>
      </c>
      <c r="H210" s="5">
        <f t="shared" si="22"/>
        <v>0.10538176033934252</v>
      </c>
      <c r="I210" t="str">
        <f t="shared" si="23"/>
        <v>over budget</v>
      </c>
    </row>
    <row r="211" spans="1:9" x14ac:dyDescent="0.25">
      <c r="A211" s="19">
        <v>46228</v>
      </c>
      <c r="B211" s="18" t="s">
        <v>25</v>
      </c>
      <c r="C211" s="18" t="s">
        <v>5</v>
      </c>
      <c r="D211" s="18" t="s">
        <v>10</v>
      </c>
      <c r="E211" s="3">
        <v>73854</v>
      </c>
      <c r="F211" s="3">
        <v>66781.45</v>
      </c>
      <c r="G211" s="4">
        <f t="shared" si="21"/>
        <v>-7072.5500000000029</v>
      </c>
      <c r="H211" s="5">
        <f t="shared" si="22"/>
        <v>-9.5763939664743988E-2</v>
      </c>
      <c r="I211" t="str">
        <f t="shared" si="23"/>
        <v>under budget</v>
      </c>
    </row>
    <row r="212" spans="1:9" x14ac:dyDescent="0.25">
      <c r="A212" s="19">
        <v>46229</v>
      </c>
      <c r="B212" s="18" t="s">
        <v>25</v>
      </c>
      <c r="C212" s="18" t="s">
        <v>5</v>
      </c>
      <c r="D212" s="18" t="s">
        <v>14</v>
      </c>
      <c r="E212" s="3">
        <v>15628</v>
      </c>
      <c r="F212" s="3">
        <v>17428.55</v>
      </c>
      <c r="G212" s="4">
        <f t="shared" si="21"/>
        <v>1800.5499999999993</v>
      </c>
      <c r="H212" s="5">
        <f t="shared" si="22"/>
        <v>0.1152130790888149</v>
      </c>
      <c r="I212" t="str">
        <f t="shared" si="23"/>
        <v>over budget</v>
      </c>
    </row>
    <row r="213" spans="1:9" x14ac:dyDescent="0.25">
      <c r="A213" s="19">
        <v>46230</v>
      </c>
      <c r="B213" s="18" t="s">
        <v>25</v>
      </c>
      <c r="C213" s="18" t="s">
        <v>7</v>
      </c>
      <c r="D213" s="18" t="s">
        <v>12</v>
      </c>
      <c r="E213" s="3">
        <v>3526</v>
      </c>
      <c r="F213" s="3">
        <v>3643.16</v>
      </c>
      <c r="G213" s="4">
        <f t="shared" si="21"/>
        <v>117.15999999999985</v>
      </c>
      <c r="H213" s="5">
        <f t="shared" si="22"/>
        <v>3.3227453204764563E-2</v>
      </c>
      <c r="I213" t="str">
        <f t="shared" si="23"/>
        <v>over budget</v>
      </c>
    </row>
    <row r="214" spans="1:9" x14ac:dyDescent="0.25">
      <c r="A214" s="19">
        <v>46231</v>
      </c>
      <c r="B214" s="18" t="s">
        <v>25</v>
      </c>
      <c r="C214" s="18" t="s">
        <v>5</v>
      </c>
      <c r="D214" s="18" t="s">
        <v>12</v>
      </c>
      <c r="E214" s="3">
        <v>8371</v>
      </c>
      <c r="F214" s="3">
        <v>8786.84</v>
      </c>
      <c r="G214" s="4">
        <f t="shared" si="21"/>
        <v>415.84000000000015</v>
      </c>
      <c r="H214" s="5">
        <f t="shared" si="22"/>
        <v>4.9676263289929537E-2</v>
      </c>
      <c r="I214" t="str">
        <f t="shared" si="23"/>
        <v>over budget</v>
      </c>
    </row>
    <row r="215" spans="1:9" x14ac:dyDescent="0.25">
      <c r="A215" s="19">
        <v>46232</v>
      </c>
      <c r="B215" s="18" t="s">
        <v>25</v>
      </c>
      <c r="C215" s="18" t="s">
        <v>7</v>
      </c>
      <c r="D215" s="18" t="s">
        <v>13</v>
      </c>
      <c r="E215" s="3">
        <v>3032</v>
      </c>
      <c r="F215" s="3">
        <v>2983.28</v>
      </c>
      <c r="G215" s="4">
        <f t="shared" si="21"/>
        <v>-48.7199999999998</v>
      </c>
      <c r="H215" s="5">
        <f t="shared" si="22"/>
        <v>-1.6068601583113389E-2</v>
      </c>
      <c r="I215" t="str">
        <f t="shared" si="23"/>
        <v>under budget</v>
      </c>
    </row>
    <row r="216" spans="1:9" x14ac:dyDescent="0.25">
      <c r="A216" s="19">
        <v>46233</v>
      </c>
      <c r="B216" s="18" t="s">
        <v>25</v>
      </c>
      <c r="C216" s="18" t="s">
        <v>4</v>
      </c>
      <c r="D216" s="18" t="s">
        <v>14</v>
      </c>
      <c r="E216" s="3">
        <v>13176</v>
      </c>
      <c r="F216" s="3">
        <v>13239.8</v>
      </c>
      <c r="G216" s="4">
        <f t="shared" si="21"/>
        <v>63.799999999999272</v>
      </c>
      <c r="H216" s="5">
        <f t="shared" si="22"/>
        <v>4.8421372191863443E-3</v>
      </c>
      <c r="I216" t="str">
        <f t="shared" si="23"/>
        <v>over budget</v>
      </c>
    </row>
    <row r="217" spans="1:9" x14ac:dyDescent="0.25">
      <c r="A217" s="19">
        <v>46235</v>
      </c>
      <c r="B217" s="18" t="s">
        <v>26</v>
      </c>
      <c r="C217" s="18" t="s">
        <v>8</v>
      </c>
      <c r="D217" s="18" t="s">
        <v>15</v>
      </c>
      <c r="E217" s="3">
        <v>4491</v>
      </c>
      <c r="F217" s="3">
        <v>4570.6499999999996</v>
      </c>
      <c r="G217" s="4">
        <f t="shared" si="21"/>
        <v>79.649999999999636</v>
      </c>
      <c r="H217" s="5">
        <f t="shared" si="22"/>
        <v>1.7735470941883685E-2</v>
      </c>
      <c r="I217" t="str">
        <f t="shared" si="23"/>
        <v>over budget</v>
      </c>
    </row>
    <row r="218" spans="1:9" x14ac:dyDescent="0.25">
      <c r="A218" s="19">
        <v>46236</v>
      </c>
      <c r="B218" s="18" t="s">
        <v>26</v>
      </c>
      <c r="C218" s="18" t="s">
        <v>8</v>
      </c>
      <c r="D218" s="18" t="s">
        <v>15</v>
      </c>
      <c r="E218" s="3">
        <v>3111</v>
      </c>
      <c r="F218" s="3">
        <v>3382.87</v>
      </c>
      <c r="G218" s="4">
        <f t="shared" si="21"/>
        <v>271.86999999999989</v>
      </c>
      <c r="H218" s="5">
        <f t="shared" si="22"/>
        <v>8.7389906782385049E-2</v>
      </c>
      <c r="I218" t="str">
        <f t="shared" si="23"/>
        <v>over budget</v>
      </c>
    </row>
    <row r="219" spans="1:9" x14ac:dyDescent="0.25">
      <c r="A219" s="19">
        <v>46237</v>
      </c>
      <c r="B219" s="18" t="s">
        <v>26</v>
      </c>
      <c r="C219" s="18" t="s">
        <v>2</v>
      </c>
      <c r="D219" s="18" t="s">
        <v>13</v>
      </c>
      <c r="E219" s="3">
        <v>6417</v>
      </c>
      <c r="F219" s="3">
        <v>6506.41</v>
      </c>
      <c r="G219" s="4">
        <f t="shared" si="21"/>
        <v>89.409999999999854</v>
      </c>
      <c r="H219" s="5">
        <f t="shared" si="22"/>
        <v>1.3933302166121217E-2</v>
      </c>
      <c r="I219" t="str">
        <f t="shared" si="23"/>
        <v>over budget</v>
      </c>
    </row>
    <row r="220" spans="1:9" x14ac:dyDescent="0.25">
      <c r="A220" s="19">
        <v>46238</v>
      </c>
      <c r="B220" s="18" t="s">
        <v>26</v>
      </c>
      <c r="C220" s="18" t="s">
        <v>3</v>
      </c>
      <c r="D220" s="18" t="s">
        <v>13</v>
      </c>
      <c r="E220" s="3">
        <v>4588</v>
      </c>
      <c r="F220" s="3">
        <v>5085.3100000000004</v>
      </c>
      <c r="G220" s="4">
        <f t="shared" si="21"/>
        <v>497.3100000000004</v>
      </c>
      <c r="H220" s="5">
        <f t="shared" si="22"/>
        <v>0.10839363557105501</v>
      </c>
      <c r="I220" t="str">
        <f t="shared" si="23"/>
        <v>over budget</v>
      </c>
    </row>
    <row r="221" spans="1:9" x14ac:dyDescent="0.25">
      <c r="A221" s="19">
        <v>46239</v>
      </c>
      <c r="B221" s="18" t="s">
        <v>26</v>
      </c>
      <c r="C221" s="18" t="s">
        <v>3</v>
      </c>
      <c r="D221" s="18" t="s">
        <v>10</v>
      </c>
      <c r="E221" s="3">
        <v>104268</v>
      </c>
      <c r="F221" s="3">
        <v>106539.02</v>
      </c>
      <c r="G221" s="4">
        <f t="shared" si="21"/>
        <v>2271.0200000000041</v>
      </c>
      <c r="H221" s="5">
        <f t="shared" si="22"/>
        <v>2.178060382859558E-2</v>
      </c>
      <c r="I221" t="str">
        <f t="shared" si="23"/>
        <v>over budget</v>
      </c>
    </row>
    <row r="222" spans="1:9" x14ac:dyDescent="0.25">
      <c r="A222" s="19">
        <v>46240</v>
      </c>
      <c r="B222" s="18" t="s">
        <v>26</v>
      </c>
      <c r="C222" s="18" t="s">
        <v>3</v>
      </c>
      <c r="D222" s="18" t="s">
        <v>12</v>
      </c>
      <c r="E222" s="3">
        <v>5261</v>
      </c>
      <c r="F222" s="3">
        <v>5656</v>
      </c>
      <c r="G222" s="4">
        <f t="shared" si="21"/>
        <v>395</v>
      </c>
      <c r="H222" s="5">
        <f t="shared" si="22"/>
        <v>7.5080783121079644E-2</v>
      </c>
      <c r="I222" t="str">
        <f t="shared" si="23"/>
        <v>over budget</v>
      </c>
    </row>
    <row r="223" spans="1:9" x14ac:dyDescent="0.25">
      <c r="A223" s="19">
        <v>46241</v>
      </c>
      <c r="B223" s="18" t="s">
        <v>26</v>
      </c>
      <c r="C223" s="18" t="s">
        <v>7</v>
      </c>
      <c r="D223" s="18" t="s">
        <v>10</v>
      </c>
      <c r="E223" s="3">
        <v>125733</v>
      </c>
      <c r="F223" s="3">
        <v>128626.05</v>
      </c>
      <c r="G223" s="4">
        <f t="shared" si="21"/>
        <v>2893.0500000000029</v>
      </c>
      <c r="H223" s="5">
        <f t="shared" si="22"/>
        <v>2.300947245353251E-2</v>
      </c>
      <c r="I223" t="str">
        <f t="shared" si="23"/>
        <v>over budget</v>
      </c>
    </row>
    <row r="224" spans="1:9" x14ac:dyDescent="0.25">
      <c r="A224" s="19">
        <v>46242</v>
      </c>
      <c r="B224" s="18" t="s">
        <v>26</v>
      </c>
      <c r="C224" s="18" t="s">
        <v>6</v>
      </c>
      <c r="D224" s="18" t="s">
        <v>12</v>
      </c>
      <c r="E224" s="3">
        <v>4250</v>
      </c>
      <c r="F224" s="3">
        <v>4065.08</v>
      </c>
      <c r="G224" s="4">
        <f t="shared" si="21"/>
        <v>-184.92000000000007</v>
      </c>
      <c r="H224" s="5">
        <f t="shared" si="22"/>
        <v>-4.3510588235294134E-2</v>
      </c>
      <c r="I224" t="str">
        <f t="shared" si="23"/>
        <v>under budget</v>
      </c>
    </row>
    <row r="225" spans="1:9" x14ac:dyDescent="0.25">
      <c r="A225" s="19">
        <v>46243</v>
      </c>
      <c r="B225" s="18" t="s">
        <v>26</v>
      </c>
      <c r="C225" s="18" t="s">
        <v>8</v>
      </c>
      <c r="D225" s="18" t="s">
        <v>10</v>
      </c>
      <c r="E225" s="3">
        <v>90269</v>
      </c>
      <c r="F225" s="3">
        <v>82051.009999999995</v>
      </c>
      <c r="G225" s="4">
        <f t="shared" si="21"/>
        <v>-8217.9900000000052</v>
      </c>
      <c r="H225" s="5">
        <f t="shared" si="22"/>
        <v>-9.1038894858700162E-2</v>
      </c>
      <c r="I225" t="str">
        <f t="shared" si="23"/>
        <v>under budget</v>
      </c>
    </row>
    <row r="226" spans="1:9" x14ac:dyDescent="0.25">
      <c r="A226" s="19">
        <v>46244</v>
      </c>
      <c r="B226" s="18" t="s">
        <v>26</v>
      </c>
      <c r="C226" s="18" t="s">
        <v>2</v>
      </c>
      <c r="D226" s="18" t="s">
        <v>10</v>
      </c>
      <c r="E226" s="3">
        <v>75184</v>
      </c>
      <c r="F226" s="3">
        <v>73059.45</v>
      </c>
      <c r="G226" s="4">
        <f t="shared" si="21"/>
        <v>-2124.5500000000029</v>
      </c>
      <c r="H226" s="5">
        <f t="shared" si="22"/>
        <v>-2.8258007022770842E-2</v>
      </c>
      <c r="I226" t="str">
        <f t="shared" si="23"/>
        <v>under budget</v>
      </c>
    </row>
    <row r="227" spans="1:9" x14ac:dyDescent="0.25">
      <c r="A227" s="19">
        <v>46245</v>
      </c>
      <c r="B227" s="18" t="s">
        <v>26</v>
      </c>
      <c r="C227" s="18" t="s">
        <v>4</v>
      </c>
      <c r="D227" s="18" t="s">
        <v>15</v>
      </c>
      <c r="E227" s="3">
        <v>2650</v>
      </c>
      <c r="F227" s="3">
        <v>2839.2</v>
      </c>
      <c r="G227" s="4">
        <f t="shared" si="21"/>
        <v>189.19999999999982</v>
      </c>
      <c r="H227" s="5">
        <f t="shared" si="22"/>
        <v>7.1396226415094272E-2</v>
      </c>
      <c r="I227" t="str">
        <f t="shared" si="23"/>
        <v>over budget</v>
      </c>
    </row>
    <row r="228" spans="1:9" x14ac:dyDescent="0.25">
      <c r="A228" s="19">
        <v>46246</v>
      </c>
      <c r="B228" s="18" t="s">
        <v>26</v>
      </c>
      <c r="C228" s="18" t="s">
        <v>5</v>
      </c>
      <c r="D228" s="18" t="s">
        <v>12</v>
      </c>
      <c r="E228" s="3">
        <v>8782</v>
      </c>
      <c r="F228" s="3">
        <v>9738.5499999999993</v>
      </c>
      <c r="G228" s="4">
        <f t="shared" si="21"/>
        <v>956.54999999999927</v>
      </c>
      <c r="H228" s="5">
        <f t="shared" si="22"/>
        <v>0.10892165793668859</v>
      </c>
      <c r="I228" t="str">
        <f t="shared" si="23"/>
        <v>over budget</v>
      </c>
    </row>
    <row r="229" spans="1:9" x14ac:dyDescent="0.25">
      <c r="A229" s="19">
        <v>46247</v>
      </c>
      <c r="B229" s="18" t="s">
        <v>26</v>
      </c>
      <c r="C229" s="18" t="s">
        <v>5</v>
      </c>
      <c r="D229" s="18" t="s">
        <v>14</v>
      </c>
      <c r="E229" s="3">
        <v>10420</v>
      </c>
      <c r="F229" s="3">
        <v>10095.44</v>
      </c>
      <c r="G229" s="4">
        <f t="shared" si="21"/>
        <v>-324.55999999999949</v>
      </c>
      <c r="H229" s="5">
        <f t="shared" si="22"/>
        <v>-3.1147792706333926E-2</v>
      </c>
      <c r="I229" t="str">
        <f t="shared" si="23"/>
        <v>under budget</v>
      </c>
    </row>
    <row r="230" spans="1:9" x14ac:dyDescent="0.25">
      <c r="A230" s="19">
        <v>46248</v>
      </c>
      <c r="B230" s="18" t="s">
        <v>26</v>
      </c>
      <c r="C230" s="18" t="s">
        <v>7</v>
      </c>
      <c r="D230" s="18" t="s">
        <v>16</v>
      </c>
      <c r="E230" s="3">
        <v>5604</v>
      </c>
      <c r="F230" s="3">
        <v>5505.25</v>
      </c>
      <c r="G230" s="4">
        <f t="shared" si="21"/>
        <v>-98.75</v>
      </c>
      <c r="H230" s="5">
        <f t="shared" si="22"/>
        <v>-1.7621341898643825E-2</v>
      </c>
      <c r="I230" t="str">
        <f t="shared" si="23"/>
        <v>under budget</v>
      </c>
    </row>
    <row r="231" spans="1:9" x14ac:dyDescent="0.25">
      <c r="A231" s="19">
        <v>46249</v>
      </c>
      <c r="B231" s="18" t="s">
        <v>26</v>
      </c>
      <c r="C231" s="18" t="s">
        <v>5</v>
      </c>
      <c r="D231" s="18" t="s">
        <v>15</v>
      </c>
      <c r="E231" s="3">
        <v>9704</v>
      </c>
      <c r="F231" s="3">
        <v>10508.72</v>
      </c>
      <c r="G231" s="4">
        <f t="shared" ref="G231:G261" si="24">F231-E231</f>
        <v>804.71999999999935</v>
      </c>
      <c r="H231" s="5">
        <f t="shared" ref="H231:H261" si="25">IFERROR(G231/E231,0)</f>
        <v>8.2926628194558871E-2</v>
      </c>
      <c r="I231" t="str">
        <f t="shared" ref="I231:I261" si="26">IF(G231&gt;0,"over budget","under budget")</f>
        <v>over budget</v>
      </c>
    </row>
    <row r="232" spans="1:9" x14ac:dyDescent="0.25">
      <c r="A232" s="19">
        <v>46250</v>
      </c>
      <c r="B232" s="18" t="s">
        <v>26</v>
      </c>
      <c r="C232" s="18" t="s">
        <v>1</v>
      </c>
      <c r="D232" s="18" t="s">
        <v>11</v>
      </c>
      <c r="E232" s="3">
        <v>34865</v>
      </c>
      <c r="F232" s="3">
        <v>33262.449999999997</v>
      </c>
      <c r="G232" s="4">
        <f t="shared" si="24"/>
        <v>-1602.5500000000029</v>
      </c>
      <c r="H232" s="5">
        <f t="shared" si="25"/>
        <v>-4.5964434246378971E-2</v>
      </c>
      <c r="I232" t="str">
        <f t="shared" si="26"/>
        <v>under budget</v>
      </c>
    </row>
    <row r="233" spans="1:9" x14ac:dyDescent="0.25">
      <c r="A233" s="19">
        <v>46251</v>
      </c>
      <c r="B233" s="18" t="s">
        <v>26</v>
      </c>
      <c r="C233" s="18" t="s">
        <v>8</v>
      </c>
      <c r="D233" s="18" t="s">
        <v>13</v>
      </c>
      <c r="E233" s="3">
        <v>7765</v>
      </c>
      <c r="F233" s="3">
        <v>7477.08</v>
      </c>
      <c r="G233" s="4">
        <f t="shared" si="24"/>
        <v>-287.92000000000007</v>
      </c>
      <c r="H233" s="5">
        <f t="shared" si="25"/>
        <v>-3.7079201545396019E-2</v>
      </c>
      <c r="I233" t="str">
        <f t="shared" si="26"/>
        <v>under budget</v>
      </c>
    </row>
    <row r="234" spans="1:9" x14ac:dyDescent="0.25">
      <c r="A234" s="19">
        <v>46252</v>
      </c>
      <c r="B234" s="18" t="s">
        <v>26</v>
      </c>
      <c r="C234" s="18" t="s">
        <v>3</v>
      </c>
      <c r="D234" s="18" t="s">
        <v>16</v>
      </c>
      <c r="E234" s="3">
        <v>7247</v>
      </c>
      <c r="F234" s="3">
        <v>7439.43</v>
      </c>
      <c r="G234" s="4">
        <f t="shared" si="24"/>
        <v>192.43000000000029</v>
      </c>
      <c r="H234" s="5">
        <f t="shared" si="25"/>
        <v>2.6553056437146446E-2</v>
      </c>
      <c r="I234" t="str">
        <f t="shared" si="26"/>
        <v>over budget</v>
      </c>
    </row>
    <row r="235" spans="1:9" x14ac:dyDescent="0.25">
      <c r="A235" s="19">
        <v>46253</v>
      </c>
      <c r="B235" s="18" t="s">
        <v>26</v>
      </c>
      <c r="C235" s="18" t="s">
        <v>5</v>
      </c>
      <c r="D235" s="18" t="s">
        <v>12</v>
      </c>
      <c r="E235" s="3">
        <v>3038</v>
      </c>
      <c r="F235" s="3">
        <v>3159.37</v>
      </c>
      <c r="G235" s="4">
        <f t="shared" si="24"/>
        <v>121.36999999999989</v>
      </c>
      <c r="H235" s="5">
        <f t="shared" si="25"/>
        <v>3.9950625411454867E-2</v>
      </c>
      <c r="I235" t="str">
        <f t="shared" si="26"/>
        <v>over budget</v>
      </c>
    </row>
    <row r="236" spans="1:9" x14ac:dyDescent="0.25">
      <c r="A236" s="19">
        <v>46254</v>
      </c>
      <c r="B236" s="18" t="s">
        <v>26</v>
      </c>
      <c r="C236" s="18" t="s">
        <v>3</v>
      </c>
      <c r="D236" s="18" t="s">
        <v>10</v>
      </c>
      <c r="E236" s="3">
        <v>104396</v>
      </c>
      <c r="F236" s="3">
        <v>94225.65</v>
      </c>
      <c r="G236" s="4">
        <f t="shared" si="24"/>
        <v>-10170.350000000006</v>
      </c>
      <c r="H236" s="5">
        <f t="shared" si="25"/>
        <v>-9.7420878194566893E-2</v>
      </c>
      <c r="I236" t="str">
        <f t="shared" si="26"/>
        <v>under budget</v>
      </c>
    </row>
    <row r="237" spans="1:9" x14ac:dyDescent="0.25">
      <c r="A237" s="19">
        <v>46255</v>
      </c>
      <c r="B237" s="18" t="s">
        <v>26</v>
      </c>
      <c r="C237" s="18" t="s">
        <v>2</v>
      </c>
      <c r="D237" s="18" t="s">
        <v>14</v>
      </c>
      <c r="E237" s="3">
        <v>9162</v>
      </c>
      <c r="F237" s="3">
        <v>9599.61</v>
      </c>
      <c r="G237" s="4">
        <f t="shared" si="24"/>
        <v>437.61000000000058</v>
      </c>
      <c r="H237" s="5">
        <f t="shared" si="25"/>
        <v>4.7763588736083891E-2</v>
      </c>
      <c r="I237" t="str">
        <f t="shared" si="26"/>
        <v>over budget</v>
      </c>
    </row>
    <row r="238" spans="1:9" x14ac:dyDescent="0.25">
      <c r="A238" s="19">
        <v>46256</v>
      </c>
      <c r="B238" s="18" t="s">
        <v>26</v>
      </c>
      <c r="C238" s="18" t="s">
        <v>2</v>
      </c>
      <c r="D238" s="18" t="s">
        <v>11</v>
      </c>
      <c r="E238" s="3">
        <v>34351</v>
      </c>
      <c r="F238" s="3">
        <v>36413.42</v>
      </c>
      <c r="G238" s="4">
        <f t="shared" si="24"/>
        <v>2062.4199999999983</v>
      </c>
      <c r="H238" s="5">
        <f t="shared" si="25"/>
        <v>6.0039591278274233E-2</v>
      </c>
      <c r="I238" t="str">
        <f t="shared" si="26"/>
        <v>over budget</v>
      </c>
    </row>
    <row r="239" spans="1:9" x14ac:dyDescent="0.25">
      <c r="A239" s="19">
        <v>46257</v>
      </c>
      <c r="B239" s="18" t="s">
        <v>26</v>
      </c>
      <c r="C239" s="18" t="s">
        <v>6</v>
      </c>
      <c r="D239" s="18" t="s">
        <v>10</v>
      </c>
      <c r="E239" s="3">
        <v>99153</v>
      </c>
      <c r="F239" s="3">
        <v>95588.07</v>
      </c>
      <c r="G239" s="4">
        <f t="shared" si="24"/>
        <v>-3564.929999999993</v>
      </c>
      <c r="H239" s="5">
        <f t="shared" si="25"/>
        <v>-3.5953828931045886E-2</v>
      </c>
      <c r="I239" t="str">
        <f t="shared" si="26"/>
        <v>under budget</v>
      </c>
    </row>
    <row r="240" spans="1:9" x14ac:dyDescent="0.25">
      <c r="A240" s="19">
        <v>46258</v>
      </c>
      <c r="B240" s="18" t="s">
        <v>26</v>
      </c>
      <c r="C240" s="18" t="s">
        <v>4</v>
      </c>
      <c r="D240" s="18" t="s">
        <v>16</v>
      </c>
      <c r="E240" s="3">
        <v>2471</v>
      </c>
      <c r="F240" s="3">
        <v>2743.62</v>
      </c>
      <c r="G240" s="4">
        <f t="shared" si="24"/>
        <v>272.61999999999989</v>
      </c>
      <c r="H240" s="5">
        <f t="shared" si="25"/>
        <v>0.11032780250910558</v>
      </c>
      <c r="I240" t="str">
        <f t="shared" si="26"/>
        <v>over budget</v>
      </c>
    </row>
    <row r="241" spans="1:9" x14ac:dyDescent="0.25">
      <c r="A241" s="19">
        <v>46259</v>
      </c>
      <c r="B241" s="18" t="s">
        <v>26</v>
      </c>
      <c r="C241" s="18" t="s">
        <v>2</v>
      </c>
      <c r="D241" s="18" t="s">
        <v>13</v>
      </c>
      <c r="E241" s="3">
        <v>4933</v>
      </c>
      <c r="F241" s="3">
        <v>4762.09</v>
      </c>
      <c r="G241" s="4">
        <f t="shared" si="24"/>
        <v>-170.90999999999985</v>
      </c>
      <c r="H241" s="5">
        <f t="shared" si="25"/>
        <v>-3.4646259882424459E-2</v>
      </c>
      <c r="I241" t="str">
        <f t="shared" si="26"/>
        <v>under budget</v>
      </c>
    </row>
    <row r="242" spans="1:9" x14ac:dyDescent="0.25">
      <c r="A242" s="19">
        <v>46260</v>
      </c>
      <c r="B242" s="18" t="s">
        <v>26</v>
      </c>
      <c r="C242" s="18" t="s">
        <v>7</v>
      </c>
      <c r="D242" s="18" t="s">
        <v>14</v>
      </c>
      <c r="E242" s="3">
        <v>13599</v>
      </c>
      <c r="F242" s="3">
        <v>14439.69</v>
      </c>
      <c r="G242" s="4">
        <f t="shared" si="24"/>
        <v>840.69000000000051</v>
      </c>
      <c r="H242" s="5">
        <f t="shared" si="25"/>
        <v>6.1819986763732668E-2</v>
      </c>
      <c r="I242" t="str">
        <f t="shared" si="26"/>
        <v>over budget</v>
      </c>
    </row>
    <row r="243" spans="1:9" x14ac:dyDescent="0.25">
      <c r="A243" s="19">
        <v>46261</v>
      </c>
      <c r="B243" s="18" t="s">
        <v>26</v>
      </c>
      <c r="C243" s="18" t="s">
        <v>8</v>
      </c>
      <c r="D243" s="18" t="s">
        <v>16</v>
      </c>
      <c r="E243" s="3">
        <v>8657</v>
      </c>
      <c r="F243" s="3">
        <v>8955.59</v>
      </c>
      <c r="G243" s="4">
        <f t="shared" si="24"/>
        <v>298.59000000000015</v>
      </c>
      <c r="H243" s="5">
        <f t="shared" si="25"/>
        <v>3.4491163220515209E-2</v>
      </c>
      <c r="I243" t="str">
        <f t="shared" si="26"/>
        <v>over budget</v>
      </c>
    </row>
    <row r="244" spans="1:9" x14ac:dyDescent="0.25">
      <c r="A244" s="19">
        <v>46262</v>
      </c>
      <c r="B244" s="18" t="s">
        <v>26</v>
      </c>
      <c r="C244" s="18" t="s">
        <v>1</v>
      </c>
      <c r="D244" s="18" t="s">
        <v>17</v>
      </c>
      <c r="E244" s="3">
        <v>18299</v>
      </c>
      <c r="F244" s="3">
        <v>17658.349999999999</v>
      </c>
      <c r="G244" s="4">
        <f t="shared" si="24"/>
        <v>-640.65000000000146</v>
      </c>
      <c r="H244" s="5">
        <f t="shared" si="25"/>
        <v>-3.5010109842067955E-2</v>
      </c>
      <c r="I244" t="str">
        <f t="shared" si="26"/>
        <v>under budget</v>
      </c>
    </row>
    <row r="245" spans="1:9" x14ac:dyDescent="0.25">
      <c r="A245" s="19">
        <v>46263</v>
      </c>
      <c r="B245" s="18" t="s">
        <v>26</v>
      </c>
      <c r="C245" s="18" t="s">
        <v>6</v>
      </c>
      <c r="D245" s="18" t="s">
        <v>15</v>
      </c>
      <c r="E245" s="3">
        <v>5522</v>
      </c>
      <c r="F245" s="3">
        <v>5016.01</v>
      </c>
      <c r="G245" s="4">
        <f t="shared" si="24"/>
        <v>-505.98999999999978</v>
      </c>
      <c r="H245" s="5">
        <f t="shared" si="25"/>
        <v>-9.1631655197392206E-2</v>
      </c>
      <c r="I245" t="str">
        <f t="shared" si="26"/>
        <v>under budget</v>
      </c>
    </row>
    <row r="246" spans="1:9" x14ac:dyDescent="0.25">
      <c r="A246" s="19">
        <v>46264</v>
      </c>
      <c r="B246" s="18" t="s">
        <v>26</v>
      </c>
      <c r="C246" s="18" t="s">
        <v>4</v>
      </c>
      <c r="D246" s="18" t="s">
        <v>10</v>
      </c>
      <c r="E246" s="3">
        <v>50724</v>
      </c>
      <c r="F246" s="3">
        <v>48878.879999999997</v>
      </c>
      <c r="G246" s="4">
        <f t="shared" si="24"/>
        <v>-1845.1200000000026</v>
      </c>
      <c r="H246" s="5">
        <f t="shared" si="25"/>
        <v>-3.6375680151407672E-2</v>
      </c>
      <c r="I246" t="str">
        <f t="shared" si="26"/>
        <v>under budget</v>
      </c>
    </row>
    <row r="247" spans="1:9" x14ac:dyDescent="0.25">
      <c r="A247" s="19">
        <v>46266</v>
      </c>
      <c r="B247" s="18" t="s">
        <v>27</v>
      </c>
      <c r="C247" s="18" t="s">
        <v>5</v>
      </c>
      <c r="D247" s="18" t="s">
        <v>14</v>
      </c>
      <c r="E247" s="3">
        <v>11851</v>
      </c>
      <c r="F247" s="3">
        <v>11699.9</v>
      </c>
      <c r="G247" s="4">
        <f t="shared" si="24"/>
        <v>-151.10000000000036</v>
      </c>
      <c r="H247" s="5">
        <f t="shared" si="25"/>
        <v>-1.2749978904733809E-2</v>
      </c>
      <c r="I247" t="str">
        <f t="shared" si="26"/>
        <v>under budget</v>
      </c>
    </row>
    <row r="248" spans="1:9" x14ac:dyDescent="0.25">
      <c r="A248" s="19">
        <v>46267</v>
      </c>
      <c r="B248" s="18" t="s">
        <v>27</v>
      </c>
      <c r="C248" s="18" t="s">
        <v>2</v>
      </c>
      <c r="D248" s="18" t="s">
        <v>13</v>
      </c>
      <c r="E248" s="3">
        <v>7762</v>
      </c>
      <c r="F248" s="3">
        <v>7705.69</v>
      </c>
      <c r="G248" s="4">
        <f t="shared" si="24"/>
        <v>-56.3100000000004</v>
      </c>
      <c r="H248" s="5">
        <f t="shared" si="25"/>
        <v>-7.2545735635146094E-3</v>
      </c>
      <c r="I248" t="str">
        <f t="shared" si="26"/>
        <v>under budget</v>
      </c>
    </row>
    <row r="249" spans="1:9" x14ac:dyDescent="0.25">
      <c r="A249" s="19">
        <v>46268</v>
      </c>
      <c r="B249" s="18" t="s">
        <v>27</v>
      </c>
      <c r="C249" s="18" t="s">
        <v>4</v>
      </c>
      <c r="D249" s="18" t="s">
        <v>14</v>
      </c>
      <c r="E249" s="3">
        <v>19576</v>
      </c>
      <c r="F249" s="3">
        <v>20772.580000000002</v>
      </c>
      <c r="G249" s="4">
        <f t="shared" si="24"/>
        <v>1196.5800000000017</v>
      </c>
      <c r="H249" s="5">
        <f t="shared" si="25"/>
        <v>6.1124846751123917E-2</v>
      </c>
      <c r="I249" t="str">
        <f t="shared" si="26"/>
        <v>over budget</v>
      </c>
    </row>
    <row r="250" spans="1:9" x14ac:dyDescent="0.25">
      <c r="A250" s="19">
        <v>46269</v>
      </c>
      <c r="B250" s="18" t="s">
        <v>27</v>
      </c>
      <c r="C250" s="18" t="s">
        <v>8</v>
      </c>
      <c r="D250" s="18" t="s">
        <v>13</v>
      </c>
      <c r="E250" s="3">
        <v>5990</v>
      </c>
      <c r="F250" s="3">
        <v>5716.02</v>
      </c>
      <c r="G250" s="4">
        <f t="shared" si="24"/>
        <v>-273.97999999999956</v>
      </c>
      <c r="H250" s="5">
        <f t="shared" si="25"/>
        <v>-4.5739565943238657E-2</v>
      </c>
      <c r="I250" t="str">
        <f t="shared" si="26"/>
        <v>under budget</v>
      </c>
    </row>
    <row r="251" spans="1:9" x14ac:dyDescent="0.25">
      <c r="A251" s="19">
        <v>46270</v>
      </c>
      <c r="B251" s="18" t="s">
        <v>27</v>
      </c>
      <c r="C251" s="18" t="s">
        <v>1</v>
      </c>
      <c r="D251" s="18" t="s">
        <v>15</v>
      </c>
      <c r="E251" s="3">
        <v>5246</v>
      </c>
      <c r="F251" s="3">
        <v>5682.49</v>
      </c>
      <c r="G251" s="4">
        <f t="shared" si="24"/>
        <v>436.48999999999978</v>
      </c>
      <c r="H251" s="5">
        <f t="shared" si="25"/>
        <v>8.3204346168509302E-2</v>
      </c>
      <c r="I251" t="str">
        <f t="shared" si="26"/>
        <v>over budget</v>
      </c>
    </row>
    <row r="252" spans="1:9" x14ac:dyDescent="0.25">
      <c r="A252" s="19">
        <v>46271</v>
      </c>
      <c r="B252" s="18" t="s">
        <v>27</v>
      </c>
      <c r="C252" s="18" t="s">
        <v>6</v>
      </c>
      <c r="D252" s="18" t="s">
        <v>17</v>
      </c>
      <c r="E252" s="3">
        <v>20957</v>
      </c>
      <c r="F252" s="3">
        <v>19477.38</v>
      </c>
      <c r="G252" s="4">
        <f t="shared" si="24"/>
        <v>-1479.619999999999</v>
      </c>
      <c r="H252" s="5">
        <f t="shared" si="25"/>
        <v>-7.0602662594836996E-2</v>
      </c>
      <c r="I252" t="str">
        <f t="shared" si="26"/>
        <v>under budget</v>
      </c>
    </row>
    <row r="253" spans="1:9" x14ac:dyDescent="0.25">
      <c r="A253" s="19">
        <v>46272</v>
      </c>
      <c r="B253" s="18" t="s">
        <v>27</v>
      </c>
      <c r="C253" s="18" t="s">
        <v>7</v>
      </c>
      <c r="D253" s="18" t="s">
        <v>16</v>
      </c>
      <c r="E253" s="3">
        <v>9315</v>
      </c>
      <c r="F253" s="3">
        <v>9738.16</v>
      </c>
      <c r="G253" s="4">
        <f t="shared" si="24"/>
        <v>423.15999999999985</v>
      </c>
      <c r="H253" s="5">
        <f t="shared" si="25"/>
        <v>4.5427804616210397E-2</v>
      </c>
      <c r="I253" t="str">
        <f t="shared" si="26"/>
        <v>over budget</v>
      </c>
    </row>
    <row r="254" spans="1:9" x14ac:dyDescent="0.25">
      <c r="A254" s="19">
        <v>46273</v>
      </c>
      <c r="B254" s="18" t="s">
        <v>27</v>
      </c>
      <c r="C254" s="18" t="s">
        <v>3</v>
      </c>
      <c r="D254" s="18" t="s">
        <v>16</v>
      </c>
      <c r="E254" s="3">
        <v>2605</v>
      </c>
      <c r="F254" s="3">
        <v>2662.11</v>
      </c>
      <c r="G254" s="4">
        <f t="shared" si="24"/>
        <v>57.110000000000127</v>
      </c>
      <c r="H254" s="5">
        <f t="shared" si="25"/>
        <v>2.1923224568138246E-2</v>
      </c>
      <c r="I254" t="str">
        <f t="shared" si="26"/>
        <v>over budget</v>
      </c>
    </row>
    <row r="255" spans="1:9" x14ac:dyDescent="0.25">
      <c r="A255" s="19">
        <v>46274</v>
      </c>
      <c r="B255" s="18" t="s">
        <v>27</v>
      </c>
      <c r="C255" s="18" t="s">
        <v>7</v>
      </c>
      <c r="D255" s="18" t="s">
        <v>11</v>
      </c>
      <c r="E255" s="3">
        <v>28760</v>
      </c>
      <c r="F255" s="3">
        <v>26386.97</v>
      </c>
      <c r="G255" s="4">
        <f t="shared" si="24"/>
        <v>-2373.0299999999988</v>
      </c>
      <c r="H255" s="5">
        <f t="shared" si="25"/>
        <v>-8.2511474269819154E-2</v>
      </c>
      <c r="I255" t="str">
        <f t="shared" si="26"/>
        <v>under budget</v>
      </c>
    </row>
    <row r="256" spans="1:9" x14ac:dyDescent="0.25">
      <c r="A256" s="19">
        <v>46275</v>
      </c>
      <c r="B256" s="18" t="s">
        <v>27</v>
      </c>
      <c r="C256" s="18" t="s">
        <v>6</v>
      </c>
      <c r="D256" s="18" t="s">
        <v>16</v>
      </c>
      <c r="E256" s="3">
        <v>3554</v>
      </c>
      <c r="F256" s="3">
        <v>3874.48</v>
      </c>
      <c r="G256" s="4">
        <f t="shared" si="24"/>
        <v>320.48</v>
      </c>
      <c r="H256" s="5">
        <f t="shared" si="25"/>
        <v>9.017445132245358E-2</v>
      </c>
      <c r="I256" t="str">
        <f t="shared" si="26"/>
        <v>over budget</v>
      </c>
    </row>
    <row r="257" spans="1:9" x14ac:dyDescent="0.25">
      <c r="A257" s="19">
        <v>46276</v>
      </c>
      <c r="B257" s="18" t="s">
        <v>27</v>
      </c>
      <c r="C257" s="18" t="s">
        <v>6</v>
      </c>
      <c r="D257" s="18" t="s">
        <v>14</v>
      </c>
      <c r="E257" s="3">
        <v>11589</v>
      </c>
      <c r="F257" s="3">
        <v>12792.18</v>
      </c>
      <c r="G257" s="4">
        <f t="shared" si="24"/>
        <v>1203.1800000000003</v>
      </c>
      <c r="H257" s="5">
        <f t="shared" si="25"/>
        <v>0.10382086461299511</v>
      </c>
      <c r="I257" t="str">
        <f t="shared" si="26"/>
        <v>over budget</v>
      </c>
    </row>
    <row r="258" spans="1:9" x14ac:dyDescent="0.25">
      <c r="A258" s="19">
        <v>46277</v>
      </c>
      <c r="B258" s="18" t="s">
        <v>27</v>
      </c>
      <c r="C258" s="18" t="s">
        <v>6</v>
      </c>
      <c r="D258" s="18" t="s">
        <v>17</v>
      </c>
      <c r="E258" s="3">
        <v>12176</v>
      </c>
      <c r="F258" s="3">
        <v>11658.1</v>
      </c>
      <c r="G258" s="4">
        <f t="shared" si="24"/>
        <v>-517.89999999999964</v>
      </c>
      <c r="H258" s="5">
        <f t="shared" si="25"/>
        <v>-4.2534494086727957E-2</v>
      </c>
      <c r="I258" t="str">
        <f t="shared" si="26"/>
        <v>under budget</v>
      </c>
    </row>
    <row r="259" spans="1:9" x14ac:dyDescent="0.25">
      <c r="A259" s="19">
        <v>46278</v>
      </c>
      <c r="B259" s="18" t="s">
        <v>27</v>
      </c>
      <c r="C259" s="18" t="s">
        <v>3</v>
      </c>
      <c r="D259" s="18" t="s">
        <v>16</v>
      </c>
      <c r="E259" s="3">
        <v>8003</v>
      </c>
      <c r="F259" s="3">
        <v>8870.58</v>
      </c>
      <c r="G259" s="4">
        <f t="shared" si="24"/>
        <v>867.57999999999993</v>
      </c>
      <c r="H259" s="5">
        <f t="shared" si="25"/>
        <v>0.1084068474322129</v>
      </c>
      <c r="I259" t="str">
        <f t="shared" si="26"/>
        <v>over budget</v>
      </c>
    </row>
    <row r="260" spans="1:9" x14ac:dyDescent="0.25">
      <c r="A260" s="19">
        <v>46279</v>
      </c>
      <c r="B260" s="18" t="s">
        <v>27</v>
      </c>
      <c r="C260" s="18" t="s">
        <v>2</v>
      </c>
      <c r="D260" s="18" t="s">
        <v>16</v>
      </c>
      <c r="E260" s="3">
        <v>2756</v>
      </c>
      <c r="F260" s="3">
        <v>2527.6</v>
      </c>
      <c r="G260" s="4">
        <f t="shared" si="24"/>
        <v>-228.40000000000009</v>
      </c>
      <c r="H260" s="5">
        <f t="shared" si="25"/>
        <v>-8.2873730043541399E-2</v>
      </c>
      <c r="I260" t="str">
        <f t="shared" si="26"/>
        <v>under budget</v>
      </c>
    </row>
    <row r="261" spans="1:9" x14ac:dyDescent="0.25">
      <c r="A261" s="19">
        <v>46280</v>
      </c>
      <c r="B261" s="18" t="s">
        <v>27</v>
      </c>
      <c r="C261" s="18" t="s">
        <v>1</v>
      </c>
      <c r="D261" s="18" t="s">
        <v>17</v>
      </c>
      <c r="E261" s="3">
        <v>12637</v>
      </c>
      <c r="F261" s="3">
        <v>12521.09</v>
      </c>
      <c r="G261" s="4">
        <f t="shared" si="24"/>
        <v>-115.90999999999985</v>
      </c>
      <c r="H261" s="5">
        <f t="shared" si="25"/>
        <v>-9.172271899976249E-3</v>
      </c>
      <c r="I261" t="str">
        <f t="shared" si="26"/>
        <v>under budget</v>
      </c>
    </row>
    <row r="262" spans="1:9" x14ac:dyDescent="0.25">
      <c r="A262" s="19">
        <v>46281</v>
      </c>
      <c r="B262" s="18" t="s">
        <v>27</v>
      </c>
      <c r="C262" s="18" t="s">
        <v>8</v>
      </c>
      <c r="D262" s="18" t="s">
        <v>12</v>
      </c>
      <c r="E262" s="3">
        <v>8602</v>
      </c>
      <c r="F262" s="3">
        <v>8918.9699999999993</v>
      </c>
      <c r="G262" s="4">
        <f t="shared" ref="G262:G299" si="27">F262-E262</f>
        <v>316.96999999999935</v>
      </c>
      <c r="H262" s="5">
        <f t="shared" ref="H262:H299" si="28">IFERROR(G262/E262,0)</f>
        <v>3.6848407347128499E-2</v>
      </c>
      <c r="I262" t="str">
        <f t="shared" ref="I262:I299" si="29">IF(G262&gt;0,"over budget","under budget")</f>
        <v>over budget</v>
      </c>
    </row>
    <row r="263" spans="1:9" x14ac:dyDescent="0.25">
      <c r="A263" s="19">
        <v>46282</v>
      </c>
      <c r="B263" s="18" t="s">
        <v>27</v>
      </c>
      <c r="C263" s="18" t="s">
        <v>6</v>
      </c>
      <c r="D263" s="18" t="s">
        <v>12</v>
      </c>
      <c r="E263" s="3">
        <v>4002</v>
      </c>
      <c r="F263" s="3">
        <v>4255.04</v>
      </c>
      <c r="G263" s="4">
        <f t="shared" si="27"/>
        <v>253.03999999999996</v>
      </c>
      <c r="H263" s="5">
        <f t="shared" si="28"/>
        <v>6.3228385807096443E-2</v>
      </c>
      <c r="I263" t="str">
        <f t="shared" si="29"/>
        <v>over budget</v>
      </c>
    </row>
    <row r="264" spans="1:9" x14ac:dyDescent="0.25">
      <c r="A264" s="19">
        <v>46283</v>
      </c>
      <c r="B264" s="18" t="s">
        <v>27</v>
      </c>
      <c r="C264" s="18" t="s">
        <v>3</v>
      </c>
      <c r="D264" s="18" t="s">
        <v>16</v>
      </c>
      <c r="E264" s="3">
        <v>9299</v>
      </c>
      <c r="F264" s="3">
        <v>10051.59</v>
      </c>
      <c r="G264" s="4">
        <f t="shared" si="27"/>
        <v>752.59000000000015</v>
      </c>
      <c r="H264" s="5">
        <f t="shared" si="28"/>
        <v>8.0932358318098738E-2</v>
      </c>
      <c r="I264" t="str">
        <f t="shared" si="29"/>
        <v>over budget</v>
      </c>
    </row>
    <row r="265" spans="1:9" x14ac:dyDescent="0.25">
      <c r="A265" s="19">
        <v>46284</v>
      </c>
      <c r="B265" s="18" t="s">
        <v>27</v>
      </c>
      <c r="C265" s="18" t="s">
        <v>2</v>
      </c>
      <c r="D265" s="18" t="s">
        <v>13</v>
      </c>
      <c r="E265" s="3">
        <v>9906</v>
      </c>
      <c r="F265" s="3">
        <v>9999.9699999999993</v>
      </c>
      <c r="G265" s="4">
        <f t="shared" si="27"/>
        <v>93.969999999999345</v>
      </c>
      <c r="H265" s="5">
        <f t="shared" si="28"/>
        <v>9.4861699979809557E-3</v>
      </c>
      <c r="I265" t="str">
        <f t="shared" si="29"/>
        <v>over budget</v>
      </c>
    </row>
    <row r="266" spans="1:9" x14ac:dyDescent="0.25">
      <c r="A266" s="19">
        <v>46285</v>
      </c>
      <c r="B266" s="18" t="s">
        <v>27</v>
      </c>
      <c r="C266" s="18" t="s">
        <v>1</v>
      </c>
      <c r="D266" s="18" t="s">
        <v>15</v>
      </c>
      <c r="E266" s="3">
        <v>9327</v>
      </c>
      <c r="F266" s="3">
        <v>9755.8799999999992</v>
      </c>
      <c r="G266" s="4">
        <f t="shared" si="27"/>
        <v>428.8799999999992</v>
      </c>
      <c r="H266" s="5">
        <f t="shared" si="28"/>
        <v>4.5982631071083864E-2</v>
      </c>
      <c r="I266" t="str">
        <f t="shared" si="29"/>
        <v>over budget</v>
      </c>
    </row>
    <row r="267" spans="1:9" x14ac:dyDescent="0.25">
      <c r="A267" s="19">
        <v>46286</v>
      </c>
      <c r="B267" s="18" t="s">
        <v>27</v>
      </c>
      <c r="C267" s="18" t="s">
        <v>2</v>
      </c>
      <c r="D267" s="18" t="s">
        <v>14</v>
      </c>
      <c r="E267" s="3">
        <v>8584</v>
      </c>
      <c r="F267" s="3">
        <v>8903.4500000000007</v>
      </c>
      <c r="G267" s="4">
        <f t="shared" si="27"/>
        <v>319.45000000000073</v>
      </c>
      <c r="H267" s="5">
        <f t="shared" si="28"/>
        <v>3.7214585274930184E-2</v>
      </c>
      <c r="I267" t="str">
        <f t="shared" si="29"/>
        <v>over budget</v>
      </c>
    </row>
    <row r="268" spans="1:9" x14ac:dyDescent="0.25">
      <c r="A268" s="19">
        <v>46287</v>
      </c>
      <c r="B268" s="18" t="s">
        <v>27</v>
      </c>
      <c r="C268" s="18" t="s">
        <v>8</v>
      </c>
      <c r="D268" s="18" t="s">
        <v>10</v>
      </c>
      <c r="E268" s="3">
        <v>78305</v>
      </c>
      <c r="F268" s="3">
        <v>72499.06</v>
      </c>
      <c r="G268" s="4">
        <f t="shared" si="27"/>
        <v>-5805.9400000000023</v>
      </c>
      <c r="H268" s="5">
        <f t="shared" si="28"/>
        <v>-7.4145201455845758E-2</v>
      </c>
      <c r="I268" t="str">
        <f t="shared" si="29"/>
        <v>under budget</v>
      </c>
    </row>
    <row r="269" spans="1:9" x14ac:dyDescent="0.25">
      <c r="A269" s="19">
        <v>46288</v>
      </c>
      <c r="B269" s="18" t="s">
        <v>27</v>
      </c>
      <c r="C269" s="18" t="s">
        <v>5</v>
      </c>
      <c r="D269" s="18" t="s">
        <v>15</v>
      </c>
      <c r="E269" s="3">
        <v>2331</v>
      </c>
      <c r="F269" s="3">
        <v>2576.9899999999998</v>
      </c>
      <c r="G269" s="4">
        <f t="shared" si="27"/>
        <v>245.98999999999978</v>
      </c>
      <c r="H269" s="5">
        <f t="shared" si="28"/>
        <v>0.10552981552981544</v>
      </c>
      <c r="I269" t="str">
        <f t="shared" si="29"/>
        <v>over budget</v>
      </c>
    </row>
    <row r="270" spans="1:9" x14ac:dyDescent="0.25">
      <c r="A270" s="19">
        <v>46289</v>
      </c>
      <c r="B270" s="18" t="s">
        <v>27</v>
      </c>
      <c r="C270" s="18" t="s">
        <v>1</v>
      </c>
      <c r="D270" s="18" t="s">
        <v>16</v>
      </c>
      <c r="E270" s="3">
        <v>8298</v>
      </c>
      <c r="F270" s="3">
        <v>7743.91</v>
      </c>
      <c r="G270" s="4">
        <f t="shared" si="27"/>
        <v>-554.09000000000015</v>
      </c>
      <c r="H270" s="5">
        <f t="shared" si="28"/>
        <v>-6.6773921426849861E-2</v>
      </c>
      <c r="I270" t="str">
        <f t="shared" si="29"/>
        <v>under budget</v>
      </c>
    </row>
    <row r="271" spans="1:9" x14ac:dyDescent="0.25">
      <c r="A271" s="19">
        <v>46290</v>
      </c>
      <c r="B271" s="18" t="s">
        <v>27</v>
      </c>
      <c r="C271" s="18" t="s">
        <v>2</v>
      </c>
      <c r="D271" s="18" t="s">
        <v>11</v>
      </c>
      <c r="E271" s="3">
        <v>36658</v>
      </c>
      <c r="F271" s="3">
        <v>33141.96</v>
      </c>
      <c r="G271" s="4">
        <f t="shared" si="27"/>
        <v>-3516.0400000000009</v>
      </c>
      <c r="H271" s="5">
        <f t="shared" si="28"/>
        <v>-9.5914670740356839E-2</v>
      </c>
      <c r="I271" t="str">
        <f t="shared" si="29"/>
        <v>under budget</v>
      </c>
    </row>
    <row r="272" spans="1:9" x14ac:dyDescent="0.25">
      <c r="A272" s="19">
        <v>46291</v>
      </c>
      <c r="B272" s="18" t="s">
        <v>27</v>
      </c>
      <c r="C272" s="18" t="s">
        <v>7</v>
      </c>
      <c r="D272" s="18" t="s">
        <v>11</v>
      </c>
      <c r="E272" s="3">
        <v>34355</v>
      </c>
      <c r="F272" s="3">
        <v>34399.33</v>
      </c>
      <c r="G272" s="4">
        <f t="shared" si="27"/>
        <v>44.330000000001746</v>
      </c>
      <c r="H272" s="5">
        <f t="shared" si="28"/>
        <v>1.2903507495270483E-3</v>
      </c>
      <c r="I272" t="str">
        <f t="shared" si="29"/>
        <v>over budget</v>
      </c>
    </row>
    <row r="273" spans="1:9" x14ac:dyDescent="0.25">
      <c r="A273" s="19">
        <v>46292</v>
      </c>
      <c r="B273" s="18" t="s">
        <v>27</v>
      </c>
      <c r="C273" s="18" t="s">
        <v>4</v>
      </c>
      <c r="D273" s="18" t="s">
        <v>14</v>
      </c>
      <c r="E273" s="3">
        <v>18811</v>
      </c>
      <c r="F273" s="3">
        <v>20764.080000000002</v>
      </c>
      <c r="G273" s="4">
        <f t="shared" si="27"/>
        <v>1953.0800000000017</v>
      </c>
      <c r="H273" s="5">
        <f t="shared" si="28"/>
        <v>0.1038264845037479</v>
      </c>
      <c r="I273" t="str">
        <f t="shared" si="29"/>
        <v>over budget</v>
      </c>
    </row>
    <row r="274" spans="1:9" x14ac:dyDescent="0.25">
      <c r="A274" s="19">
        <v>46293</v>
      </c>
      <c r="B274" s="18" t="s">
        <v>27</v>
      </c>
      <c r="C274" s="18" t="s">
        <v>4</v>
      </c>
      <c r="D274" s="18" t="s">
        <v>17</v>
      </c>
      <c r="E274" s="3">
        <v>19445</v>
      </c>
      <c r="F274" s="3">
        <v>18195.830000000002</v>
      </c>
      <c r="G274" s="4">
        <f t="shared" si="27"/>
        <v>-1249.1699999999983</v>
      </c>
      <c r="H274" s="5">
        <f t="shared" si="28"/>
        <v>-6.4241193108768233E-2</v>
      </c>
      <c r="I274" t="str">
        <f t="shared" si="29"/>
        <v>under budget</v>
      </c>
    </row>
    <row r="275" spans="1:9" x14ac:dyDescent="0.25">
      <c r="A275" s="19">
        <v>46294</v>
      </c>
      <c r="B275" s="18" t="s">
        <v>27</v>
      </c>
      <c r="C275" s="18" t="s">
        <v>8</v>
      </c>
      <c r="D275" s="18" t="s">
        <v>12</v>
      </c>
      <c r="E275" s="3">
        <v>8669</v>
      </c>
      <c r="F275" s="3">
        <v>8232.5300000000007</v>
      </c>
      <c r="G275" s="4">
        <f t="shared" si="27"/>
        <v>-436.46999999999935</v>
      </c>
      <c r="H275" s="5">
        <f t="shared" si="28"/>
        <v>-5.0348367747144927E-2</v>
      </c>
      <c r="I275" t="str">
        <f t="shared" si="29"/>
        <v>under budget</v>
      </c>
    </row>
    <row r="276" spans="1:9" x14ac:dyDescent="0.25">
      <c r="A276" s="19">
        <v>46295</v>
      </c>
      <c r="B276" s="18" t="s">
        <v>27</v>
      </c>
      <c r="C276" s="18" t="s">
        <v>4</v>
      </c>
      <c r="D276" s="18" t="s">
        <v>14</v>
      </c>
      <c r="E276" s="3">
        <v>12002</v>
      </c>
      <c r="F276" s="3">
        <v>10854.06</v>
      </c>
      <c r="G276" s="4">
        <f t="shared" si="27"/>
        <v>-1147.9400000000005</v>
      </c>
      <c r="H276" s="5">
        <f t="shared" si="28"/>
        <v>-9.5645725712381308E-2</v>
      </c>
      <c r="I276" t="str">
        <f t="shared" si="29"/>
        <v>under budget</v>
      </c>
    </row>
    <row r="277" spans="1:9" x14ac:dyDescent="0.25">
      <c r="A277" s="19">
        <v>46296</v>
      </c>
      <c r="B277" s="18" t="s">
        <v>28</v>
      </c>
      <c r="C277" s="18" t="s">
        <v>2</v>
      </c>
      <c r="D277" s="18" t="s">
        <v>14</v>
      </c>
      <c r="E277" s="3">
        <v>7110</v>
      </c>
      <c r="F277" s="3">
        <v>6906.75</v>
      </c>
      <c r="G277" s="4">
        <f t="shared" si="27"/>
        <v>-203.25</v>
      </c>
      <c r="H277" s="5">
        <f t="shared" si="28"/>
        <v>-2.8586497890295357E-2</v>
      </c>
      <c r="I277" t="str">
        <f t="shared" si="29"/>
        <v>under budget</v>
      </c>
    </row>
    <row r="278" spans="1:9" x14ac:dyDescent="0.25">
      <c r="A278" s="19">
        <v>46297</v>
      </c>
      <c r="B278" s="18" t="s">
        <v>28</v>
      </c>
      <c r="C278" s="18" t="s">
        <v>7</v>
      </c>
      <c r="D278" s="18" t="s">
        <v>13</v>
      </c>
      <c r="E278" s="3">
        <v>8919</v>
      </c>
      <c r="F278" s="3">
        <v>9133.6200000000008</v>
      </c>
      <c r="G278" s="4">
        <f t="shared" si="27"/>
        <v>214.6200000000008</v>
      </c>
      <c r="H278" s="5">
        <f t="shared" si="28"/>
        <v>2.4063235788765645E-2</v>
      </c>
      <c r="I278" t="str">
        <f t="shared" si="29"/>
        <v>over budget</v>
      </c>
    </row>
    <row r="279" spans="1:9" x14ac:dyDescent="0.25">
      <c r="A279" s="19">
        <v>46298</v>
      </c>
      <c r="B279" s="18" t="s">
        <v>28</v>
      </c>
      <c r="C279" s="18" t="s">
        <v>4</v>
      </c>
      <c r="D279" s="18" t="s">
        <v>14</v>
      </c>
      <c r="E279" s="3">
        <v>17995</v>
      </c>
      <c r="F279" s="3">
        <v>17429.63</v>
      </c>
      <c r="G279" s="4">
        <f t="shared" si="27"/>
        <v>-565.36999999999898</v>
      </c>
      <c r="H279" s="5">
        <f t="shared" si="28"/>
        <v>-3.1418171714365048E-2</v>
      </c>
      <c r="I279" t="str">
        <f t="shared" si="29"/>
        <v>under budget</v>
      </c>
    </row>
    <row r="280" spans="1:9" x14ac:dyDescent="0.25">
      <c r="A280" s="19">
        <v>46299</v>
      </c>
      <c r="B280" s="18" t="s">
        <v>28</v>
      </c>
      <c r="C280" s="18" t="s">
        <v>2</v>
      </c>
      <c r="D280" s="18" t="s">
        <v>12</v>
      </c>
      <c r="E280" s="3">
        <v>8797</v>
      </c>
      <c r="F280" s="3">
        <v>9385.33</v>
      </c>
      <c r="G280" s="4">
        <f t="shared" si="27"/>
        <v>588.32999999999993</v>
      </c>
      <c r="H280" s="5">
        <f t="shared" si="28"/>
        <v>6.6878481300443327E-2</v>
      </c>
      <c r="I280" t="str">
        <f t="shared" si="29"/>
        <v>over budget</v>
      </c>
    </row>
    <row r="281" spans="1:9" x14ac:dyDescent="0.25">
      <c r="A281" s="19">
        <v>46300</v>
      </c>
      <c r="B281" s="18" t="s">
        <v>28</v>
      </c>
      <c r="C281" s="18" t="s">
        <v>4</v>
      </c>
      <c r="D281" s="18" t="s">
        <v>15</v>
      </c>
      <c r="E281" s="3">
        <v>5131</v>
      </c>
      <c r="F281" s="3">
        <v>5509.78</v>
      </c>
      <c r="G281" s="4">
        <f t="shared" si="27"/>
        <v>378.77999999999975</v>
      </c>
      <c r="H281" s="5">
        <f t="shared" si="28"/>
        <v>7.3821867082440026E-2</v>
      </c>
      <c r="I281" t="str">
        <f t="shared" si="29"/>
        <v>over budget</v>
      </c>
    </row>
    <row r="282" spans="1:9" x14ac:dyDescent="0.25">
      <c r="A282" s="19">
        <v>46301</v>
      </c>
      <c r="B282" s="18" t="s">
        <v>28</v>
      </c>
      <c r="C282" s="18" t="s">
        <v>7</v>
      </c>
      <c r="D282" s="18" t="s">
        <v>10</v>
      </c>
      <c r="E282" s="3">
        <v>94210</v>
      </c>
      <c r="F282" s="3">
        <v>94875.41</v>
      </c>
      <c r="G282" s="4">
        <f t="shared" si="27"/>
        <v>665.41000000000349</v>
      </c>
      <c r="H282" s="5">
        <f t="shared" si="28"/>
        <v>7.0630506315678115E-3</v>
      </c>
      <c r="I282" t="str">
        <f t="shared" si="29"/>
        <v>over budget</v>
      </c>
    </row>
    <row r="283" spans="1:9" x14ac:dyDescent="0.25">
      <c r="A283" s="19">
        <v>46302</v>
      </c>
      <c r="B283" s="18" t="s">
        <v>28</v>
      </c>
      <c r="C283" s="18" t="s">
        <v>7</v>
      </c>
      <c r="D283" s="18" t="s">
        <v>13</v>
      </c>
      <c r="E283" s="3">
        <v>9817</v>
      </c>
      <c r="F283" s="3">
        <v>9357.09</v>
      </c>
      <c r="G283" s="4">
        <f t="shared" si="27"/>
        <v>-459.90999999999985</v>
      </c>
      <c r="H283" s="5">
        <f t="shared" si="28"/>
        <v>-4.6848324335336644E-2</v>
      </c>
      <c r="I283" t="str">
        <f t="shared" si="29"/>
        <v>under budget</v>
      </c>
    </row>
    <row r="284" spans="1:9" x14ac:dyDescent="0.25">
      <c r="A284" s="19">
        <v>46303</v>
      </c>
      <c r="B284" s="18" t="s">
        <v>28</v>
      </c>
      <c r="C284" s="18" t="s">
        <v>2</v>
      </c>
      <c r="D284" s="18" t="s">
        <v>10</v>
      </c>
      <c r="E284" s="3">
        <v>129459</v>
      </c>
      <c r="F284" s="3">
        <v>119663.14</v>
      </c>
      <c r="G284" s="4">
        <f t="shared" si="27"/>
        <v>-9795.86</v>
      </c>
      <c r="H284" s="5">
        <f t="shared" si="28"/>
        <v>-7.5667663121142606E-2</v>
      </c>
      <c r="I284" t="str">
        <f t="shared" si="29"/>
        <v>under budget</v>
      </c>
    </row>
    <row r="285" spans="1:9" x14ac:dyDescent="0.25">
      <c r="A285" s="19">
        <v>46304</v>
      </c>
      <c r="B285" s="18" t="s">
        <v>28</v>
      </c>
      <c r="C285" s="18" t="s">
        <v>7</v>
      </c>
      <c r="D285" s="18" t="s">
        <v>13</v>
      </c>
      <c r="E285" s="3">
        <v>8718</v>
      </c>
      <c r="F285" s="3">
        <v>9520.66</v>
      </c>
      <c r="G285" s="4">
        <f t="shared" si="27"/>
        <v>802.65999999999985</v>
      </c>
      <c r="H285" s="5">
        <f t="shared" si="28"/>
        <v>9.2069281945400303E-2</v>
      </c>
      <c r="I285" t="str">
        <f t="shared" si="29"/>
        <v>over budget</v>
      </c>
    </row>
    <row r="286" spans="1:9" x14ac:dyDescent="0.25">
      <c r="A286" s="19">
        <v>46305</v>
      </c>
      <c r="B286" s="18" t="s">
        <v>28</v>
      </c>
      <c r="C286" s="18" t="s">
        <v>1</v>
      </c>
      <c r="D286" s="18" t="s">
        <v>13</v>
      </c>
      <c r="E286" s="3">
        <v>4836</v>
      </c>
      <c r="F286" s="3">
        <v>5385.36</v>
      </c>
      <c r="G286" s="4">
        <f t="shared" si="27"/>
        <v>549.35999999999967</v>
      </c>
      <c r="H286" s="5">
        <f t="shared" si="28"/>
        <v>0.1135980148883374</v>
      </c>
      <c r="I286" t="str">
        <f t="shared" si="29"/>
        <v>over budget</v>
      </c>
    </row>
    <row r="287" spans="1:9" x14ac:dyDescent="0.25">
      <c r="A287" s="19">
        <v>46306</v>
      </c>
      <c r="B287" s="18" t="s">
        <v>28</v>
      </c>
      <c r="C287" s="18" t="s">
        <v>6</v>
      </c>
      <c r="D287" s="18" t="s">
        <v>16</v>
      </c>
      <c r="E287" s="3">
        <v>8471</v>
      </c>
      <c r="F287" s="3">
        <v>9169.23</v>
      </c>
      <c r="G287" s="4">
        <f t="shared" si="27"/>
        <v>698.22999999999956</v>
      </c>
      <c r="H287" s="5">
        <f t="shared" si="28"/>
        <v>8.2425923739818149E-2</v>
      </c>
      <c r="I287" t="str">
        <f t="shared" si="29"/>
        <v>over budget</v>
      </c>
    </row>
    <row r="288" spans="1:9" x14ac:dyDescent="0.25">
      <c r="A288" s="19">
        <v>46307</v>
      </c>
      <c r="B288" s="18" t="s">
        <v>28</v>
      </c>
      <c r="C288" s="18" t="s">
        <v>3</v>
      </c>
      <c r="D288" s="18" t="s">
        <v>10</v>
      </c>
      <c r="E288" s="3">
        <v>77288</v>
      </c>
      <c r="F288" s="3">
        <v>85568.28</v>
      </c>
      <c r="G288" s="4">
        <f t="shared" si="27"/>
        <v>8280.2799999999988</v>
      </c>
      <c r="H288" s="5">
        <f t="shared" si="28"/>
        <v>0.10713538971121001</v>
      </c>
      <c r="I288" t="str">
        <f t="shared" si="29"/>
        <v>over budget</v>
      </c>
    </row>
    <row r="289" spans="1:9" x14ac:dyDescent="0.25">
      <c r="A289" s="19">
        <v>46308</v>
      </c>
      <c r="B289" s="18" t="s">
        <v>28</v>
      </c>
      <c r="C289" s="18" t="s">
        <v>5</v>
      </c>
      <c r="D289" s="18" t="s">
        <v>12</v>
      </c>
      <c r="E289" s="3">
        <v>4840</v>
      </c>
      <c r="F289" s="3">
        <v>4504.71</v>
      </c>
      <c r="G289" s="4">
        <f t="shared" si="27"/>
        <v>-335.28999999999996</v>
      </c>
      <c r="H289" s="5">
        <f t="shared" si="28"/>
        <v>-6.9274793388429748E-2</v>
      </c>
      <c r="I289" t="str">
        <f t="shared" si="29"/>
        <v>under budget</v>
      </c>
    </row>
    <row r="290" spans="1:9" x14ac:dyDescent="0.25">
      <c r="A290" s="19">
        <v>46309</v>
      </c>
      <c r="B290" s="18" t="s">
        <v>28</v>
      </c>
      <c r="C290" s="18" t="s">
        <v>4</v>
      </c>
      <c r="D290" s="18" t="s">
        <v>12</v>
      </c>
      <c r="E290" s="3">
        <v>9411</v>
      </c>
      <c r="F290" s="3">
        <v>9522.8700000000008</v>
      </c>
      <c r="G290" s="4">
        <f t="shared" si="27"/>
        <v>111.8700000000008</v>
      </c>
      <c r="H290" s="5">
        <f t="shared" si="28"/>
        <v>1.1887153331208246E-2</v>
      </c>
      <c r="I290" t="str">
        <f t="shared" si="29"/>
        <v>over budget</v>
      </c>
    </row>
    <row r="291" spans="1:9" x14ac:dyDescent="0.25">
      <c r="A291" s="19">
        <v>46310</v>
      </c>
      <c r="B291" s="18" t="s">
        <v>28</v>
      </c>
      <c r="C291" s="18" t="s">
        <v>1</v>
      </c>
      <c r="D291" s="18" t="s">
        <v>14</v>
      </c>
      <c r="E291" s="3">
        <v>21418</v>
      </c>
      <c r="F291" s="3">
        <v>23945.66</v>
      </c>
      <c r="G291" s="4">
        <f t="shared" si="27"/>
        <v>2527.66</v>
      </c>
      <c r="H291" s="5">
        <f t="shared" si="28"/>
        <v>0.11801568773928471</v>
      </c>
      <c r="I291" t="str">
        <f t="shared" si="29"/>
        <v>over budget</v>
      </c>
    </row>
    <row r="292" spans="1:9" x14ac:dyDescent="0.25">
      <c r="A292" s="19">
        <v>46311</v>
      </c>
      <c r="B292" s="18" t="s">
        <v>28</v>
      </c>
      <c r="C292" s="18" t="s">
        <v>3</v>
      </c>
      <c r="D292" s="18" t="s">
        <v>11</v>
      </c>
      <c r="E292" s="3">
        <v>31485</v>
      </c>
      <c r="F292" s="3">
        <v>29678.36</v>
      </c>
      <c r="G292" s="4">
        <f t="shared" si="27"/>
        <v>-1806.6399999999994</v>
      </c>
      <c r="H292" s="5">
        <f t="shared" si="28"/>
        <v>-5.7380975067492436E-2</v>
      </c>
      <c r="I292" t="str">
        <f t="shared" si="29"/>
        <v>under budget</v>
      </c>
    </row>
    <row r="293" spans="1:9" x14ac:dyDescent="0.25">
      <c r="A293" s="19">
        <v>46312</v>
      </c>
      <c r="B293" s="18" t="s">
        <v>28</v>
      </c>
      <c r="C293" s="18" t="s">
        <v>2</v>
      </c>
      <c r="D293" s="18" t="s">
        <v>10</v>
      </c>
      <c r="E293" s="3">
        <v>109559</v>
      </c>
      <c r="F293" s="3">
        <v>105944.93</v>
      </c>
      <c r="G293" s="4">
        <f t="shared" si="27"/>
        <v>-3614.070000000007</v>
      </c>
      <c r="H293" s="5">
        <f t="shared" si="28"/>
        <v>-3.2987431429640716E-2</v>
      </c>
      <c r="I293" t="str">
        <f t="shared" si="29"/>
        <v>under budget</v>
      </c>
    </row>
    <row r="294" spans="1:9" x14ac:dyDescent="0.25">
      <c r="A294" s="19">
        <v>46313</v>
      </c>
      <c r="B294" s="18" t="s">
        <v>28</v>
      </c>
      <c r="C294" s="18" t="s">
        <v>1</v>
      </c>
      <c r="D294" s="18" t="s">
        <v>14</v>
      </c>
      <c r="E294" s="3">
        <v>21386</v>
      </c>
      <c r="F294" s="3">
        <v>20115.830000000002</v>
      </c>
      <c r="G294" s="4">
        <f t="shared" si="27"/>
        <v>-1270.1699999999983</v>
      </c>
      <c r="H294" s="5">
        <f t="shared" si="28"/>
        <v>-5.939259328532677E-2</v>
      </c>
      <c r="I294" t="str">
        <f t="shared" si="29"/>
        <v>under budget</v>
      </c>
    </row>
    <row r="295" spans="1:9" x14ac:dyDescent="0.25">
      <c r="A295" s="19">
        <v>46314</v>
      </c>
      <c r="B295" s="18" t="s">
        <v>28</v>
      </c>
      <c r="C295" s="18" t="s">
        <v>8</v>
      </c>
      <c r="D295" s="18" t="s">
        <v>10</v>
      </c>
      <c r="E295" s="3">
        <v>127477</v>
      </c>
      <c r="F295" s="3">
        <v>137408.6</v>
      </c>
      <c r="G295" s="4">
        <f t="shared" si="27"/>
        <v>9931.6000000000058</v>
      </c>
      <c r="H295" s="5">
        <f t="shared" si="28"/>
        <v>7.7908956125418746E-2</v>
      </c>
      <c r="I295" t="str">
        <f t="shared" si="29"/>
        <v>over budget</v>
      </c>
    </row>
    <row r="296" spans="1:9" x14ac:dyDescent="0.25">
      <c r="A296" s="19">
        <v>46315</v>
      </c>
      <c r="B296" s="18" t="s">
        <v>28</v>
      </c>
      <c r="C296" s="18" t="s">
        <v>1</v>
      </c>
      <c r="D296" s="18" t="s">
        <v>16</v>
      </c>
      <c r="E296" s="3">
        <v>8034</v>
      </c>
      <c r="F296" s="3">
        <v>8011.85</v>
      </c>
      <c r="G296" s="4">
        <f t="shared" si="27"/>
        <v>-22.149999999999636</v>
      </c>
      <c r="H296" s="5">
        <f t="shared" si="28"/>
        <v>-2.757032611401498E-3</v>
      </c>
      <c r="I296" t="str">
        <f t="shared" si="29"/>
        <v>under budget</v>
      </c>
    </row>
    <row r="297" spans="1:9" x14ac:dyDescent="0.25">
      <c r="A297" s="19">
        <v>46316</v>
      </c>
      <c r="B297" s="18" t="s">
        <v>28</v>
      </c>
      <c r="C297" s="18" t="s">
        <v>7</v>
      </c>
      <c r="D297" s="18" t="s">
        <v>15</v>
      </c>
      <c r="E297" s="3">
        <v>5380</v>
      </c>
      <c r="F297" s="3">
        <v>4976.82</v>
      </c>
      <c r="G297" s="4">
        <f t="shared" si="27"/>
        <v>-403.18000000000029</v>
      </c>
      <c r="H297" s="5">
        <f t="shared" si="28"/>
        <v>-7.4940520446096712E-2</v>
      </c>
      <c r="I297" t="str">
        <f t="shared" si="29"/>
        <v>under budget</v>
      </c>
    </row>
    <row r="298" spans="1:9" x14ac:dyDescent="0.25">
      <c r="A298" s="19">
        <v>46317</v>
      </c>
      <c r="B298" s="18" t="s">
        <v>28</v>
      </c>
      <c r="C298" s="18" t="s">
        <v>8</v>
      </c>
      <c r="D298" s="18" t="s">
        <v>15</v>
      </c>
      <c r="E298" s="3">
        <v>3933</v>
      </c>
      <c r="F298" s="3">
        <v>3688.71</v>
      </c>
      <c r="G298" s="4">
        <f t="shared" si="27"/>
        <v>-244.28999999999996</v>
      </c>
      <c r="H298" s="5">
        <f t="shared" si="28"/>
        <v>-6.2112890922959567E-2</v>
      </c>
      <c r="I298" t="str">
        <f t="shared" si="29"/>
        <v>under budget</v>
      </c>
    </row>
    <row r="299" spans="1:9" x14ac:dyDescent="0.25">
      <c r="A299" s="19">
        <v>46318</v>
      </c>
      <c r="B299" s="18" t="s">
        <v>28</v>
      </c>
      <c r="C299" s="18" t="s">
        <v>2</v>
      </c>
      <c r="D299" s="18" t="s">
        <v>11</v>
      </c>
      <c r="E299" s="3">
        <v>20770</v>
      </c>
      <c r="F299" s="3">
        <v>20413.61</v>
      </c>
      <c r="G299" s="4">
        <f t="shared" si="27"/>
        <v>-356.38999999999942</v>
      </c>
      <c r="H299" s="5">
        <f t="shared" si="28"/>
        <v>-1.7158883004333145E-2</v>
      </c>
      <c r="I299" t="str">
        <f t="shared" si="29"/>
        <v>under budget</v>
      </c>
    </row>
    <row r="300" spans="1:9" x14ac:dyDescent="0.25">
      <c r="A300" s="19">
        <v>46319</v>
      </c>
      <c r="B300" s="18" t="s">
        <v>28</v>
      </c>
      <c r="C300" s="18" t="s">
        <v>5</v>
      </c>
      <c r="D300" s="18" t="s">
        <v>10</v>
      </c>
      <c r="E300" s="3">
        <v>107376</v>
      </c>
      <c r="F300" s="3">
        <v>108363.73</v>
      </c>
      <c r="G300" s="4">
        <f t="shared" ref="G300:G335" si="30">F300-E300</f>
        <v>987.72999999999593</v>
      </c>
      <c r="H300" s="5">
        <f t="shared" ref="H300:H335" si="31">IFERROR(G300/E300,0)</f>
        <v>9.198796751601809E-3</v>
      </c>
      <c r="I300" t="str">
        <f t="shared" ref="I300:I335" si="32">IF(G300&gt;0,"over budget","under budget")</f>
        <v>over budget</v>
      </c>
    </row>
    <row r="301" spans="1:9" x14ac:dyDescent="0.25">
      <c r="A301" s="19">
        <v>46320</v>
      </c>
      <c r="B301" s="18" t="s">
        <v>28</v>
      </c>
      <c r="C301" s="18" t="s">
        <v>3</v>
      </c>
      <c r="D301" s="18" t="s">
        <v>16</v>
      </c>
      <c r="E301" s="3">
        <v>5213</v>
      </c>
      <c r="F301" s="3">
        <v>5755.82</v>
      </c>
      <c r="G301" s="4">
        <f t="shared" si="30"/>
        <v>542.81999999999971</v>
      </c>
      <c r="H301" s="5">
        <f t="shared" si="31"/>
        <v>0.10412814118549774</v>
      </c>
      <c r="I301" t="str">
        <f t="shared" si="32"/>
        <v>over budget</v>
      </c>
    </row>
    <row r="302" spans="1:9" x14ac:dyDescent="0.25">
      <c r="A302" s="19">
        <v>46321</v>
      </c>
      <c r="B302" s="18" t="s">
        <v>28</v>
      </c>
      <c r="C302" s="18" t="s">
        <v>1</v>
      </c>
      <c r="D302" s="18" t="s">
        <v>12</v>
      </c>
      <c r="E302" s="3">
        <v>7111</v>
      </c>
      <c r="F302" s="3">
        <v>7285.04</v>
      </c>
      <c r="G302" s="4">
        <f t="shared" si="30"/>
        <v>174.03999999999996</v>
      </c>
      <c r="H302" s="5">
        <f t="shared" si="31"/>
        <v>2.4474757418084653E-2</v>
      </c>
      <c r="I302" t="str">
        <f t="shared" si="32"/>
        <v>over budget</v>
      </c>
    </row>
    <row r="303" spans="1:9" x14ac:dyDescent="0.25">
      <c r="A303" s="19">
        <v>46322</v>
      </c>
      <c r="B303" s="18" t="s">
        <v>28</v>
      </c>
      <c r="C303" s="18" t="s">
        <v>1</v>
      </c>
      <c r="D303" s="18" t="s">
        <v>16</v>
      </c>
      <c r="E303" s="3">
        <v>2146</v>
      </c>
      <c r="F303" s="3">
        <v>2149.42</v>
      </c>
      <c r="G303" s="4">
        <f t="shared" si="30"/>
        <v>3.4200000000000728</v>
      </c>
      <c r="H303" s="5">
        <f t="shared" si="31"/>
        <v>1.5936626281454207E-3</v>
      </c>
      <c r="I303" t="str">
        <f t="shared" si="32"/>
        <v>over budget</v>
      </c>
    </row>
    <row r="304" spans="1:9" x14ac:dyDescent="0.25">
      <c r="A304" s="19">
        <v>46323</v>
      </c>
      <c r="B304" s="18" t="s">
        <v>28</v>
      </c>
      <c r="C304" s="18" t="s">
        <v>8</v>
      </c>
      <c r="D304" s="18" t="s">
        <v>15</v>
      </c>
      <c r="E304" s="3">
        <v>9157</v>
      </c>
      <c r="F304" s="3">
        <v>8353.42</v>
      </c>
      <c r="G304" s="4">
        <f t="shared" si="30"/>
        <v>-803.57999999999993</v>
      </c>
      <c r="H304" s="5">
        <f t="shared" si="31"/>
        <v>-8.7755815223326414E-2</v>
      </c>
      <c r="I304" t="str">
        <f t="shared" si="32"/>
        <v>under budget</v>
      </c>
    </row>
    <row r="305" spans="1:9" x14ac:dyDescent="0.25">
      <c r="A305" s="19">
        <v>46324</v>
      </c>
      <c r="B305" s="18" t="s">
        <v>28</v>
      </c>
      <c r="C305" s="18" t="s">
        <v>6</v>
      </c>
      <c r="D305" s="18" t="s">
        <v>15</v>
      </c>
      <c r="E305" s="3">
        <v>3683</v>
      </c>
      <c r="F305" s="3">
        <v>3618.03</v>
      </c>
      <c r="G305" s="4">
        <f t="shared" si="30"/>
        <v>-64.9699999999998</v>
      </c>
      <c r="H305" s="5">
        <f t="shared" si="31"/>
        <v>-1.7640510453434646E-2</v>
      </c>
      <c r="I305" t="str">
        <f t="shared" si="32"/>
        <v>under budget</v>
      </c>
    </row>
    <row r="306" spans="1:9" x14ac:dyDescent="0.25">
      <c r="A306" s="19">
        <v>46325</v>
      </c>
      <c r="B306" s="18" t="s">
        <v>28</v>
      </c>
      <c r="C306" s="18" t="s">
        <v>2</v>
      </c>
      <c r="D306" s="18" t="s">
        <v>14</v>
      </c>
      <c r="E306" s="3">
        <v>11163</v>
      </c>
      <c r="F306" s="3">
        <v>12300.94</v>
      </c>
      <c r="G306" s="4">
        <f t="shared" si="30"/>
        <v>1137.9400000000005</v>
      </c>
      <c r="H306" s="5">
        <f t="shared" si="31"/>
        <v>0.1019385469855774</v>
      </c>
      <c r="I306" t="str">
        <f t="shared" si="32"/>
        <v>over budget</v>
      </c>
    </row>
    <row r="307" spans="1:9" x14ac:dyDescent="0.25">
      <c r="A307" s="19">
        <v>46327</v>
      </c>
      <c r="B307" s="18" t="s">
        <v>29</v>
      </c>
      <c r="C307" s="18" t="s">
        <v>1</v>
      </c>
      <c r="D307" s="18" t="s">
        <v>14</v>
      </c>
      <c r="E307" s="3">
        <v>18277</v>
      </c>
      <c r="F307" s="3">
        <v>19416.59</v>
      </c>
      <c r="G307" s="4">
        <f t="shared" si="30"/>
        <v>1139.5900000000001</v>
      </c>
      <c r="H307" s="5">
        <f t="shared" si="31"/>
        <v>6.2351042293593048E-2</v>
      </c>
      <c r="I307" t="str">
        <f t="shared" si="32"/>
        <v>over budget</v>
      </c>
    </row>
    <row r="308" spans="1:9" x14ac:dyDescent="0.25">
      <c r="A308" s="19">
        <v>46328</v>
      </c>
      <c r="B308" s="18" t="s">
        <v>29</v>
      </c>
      <c r="C308" s="18" t="s">
        <v>6</v>
      </c>
      <c r="D308" s="18" t="s">
        <v>11</v>
      </c>
      <c r="E308" s="3">
        <v>40259</v>
      </c>
      <c r="F308" s="3">
        <v>39555.230000000003</v>
      </c>
      <c r="G308" s="4">
        <f t="shared" si="30"/>
        <v>-703.7699999999968</v>
      </c>
      <c r="H308" s="5">
        <f t="shared" si="31"/>
        <v>-1.748106013562177E-2</v>
      </c>
      <c r="I308" t="str">
        <f t="shared" si="32"/>
        <v>under budget</v>
      </c>
    </row>
    <row r="309" spans="1:9" x14ac:dyDescent="0.25">
      <c r="A309" s="19">
        <v>46329</v>
      </c>
      <c r="B309" s="18" t="s">
        <v>29</v>
      </c>
      <c r="C309" s="18" t="s">
        <v>5</v>
      </c>
      <c r="D309" s="18" t="s">
        <v>15</v>
      </c>
      <c r="E309" s="3">
        <v>9830</v>
      </c>
      <c r="F309" s="3">
        <v>10317.85</v>
      </c>
      <c r="G309" s="4">
        <f t="shared" si="30"/>
        <v>487.85000000000036</v>
      </c>
      <c r="H309" s="5">
        <f t="shared" si="31"/>
        <v>4.9628687690742662E-2</v>
      </c>
      <c r="I309" t="str">
        <f t="shared" si="32"/>
        <v>over budget</v>
      </c>
    </row>
    <row r="310" spans="1:9" x14ac:dyDescent="0.25">
      <c r="A310" s="19">
        <v>46330</v>
      </c>
      <c r="B310" s="18" t="s">
        <v>29</v>
      </c>
      <c r="C310" s="18" t="s">
        <v>2</v>
      </c>
      <c r="D310" s="18" t="s">
        <v>17</v>
      </c>
      <c r="E310" s="3">
        <v>18898</v>
      </c>
      <c r="F310" s="3">
        <v>21037.15</v>
      </c>
      <c r="G310" s="4">
        <f t="shared" si="30"/>
        <v>2139.1500000000015</v>
      </c>
      <c r="H310" s="5">
        <f t="shared" si="31"/>
        <v>0.11319451793840626</v>
      </c>
      <c r="I310" t="str">
        <f t="shared" si="32"/>
        <v>over budget</v>
      </c>
    </row>
    <row r="311" spans="1:9" x14ac:dyDescent="0.25">
      <c r="A311" s="19">
        <v>46331</v>
      </c>
      <c r="B311" s="18" t="s">
        <v>29</v>
      </c>
      <c r="C311" s="18" t="s">
        <v>8</v>
      </c>
      <c r="D311" s="18" t="s">
        <v>10</v>
      </c>
      <c r="E311" s="3">
        <v>129835</v>
      </c>
      <c r="F311" s="3">
        <v>124697.14</v>
      </c>
      <c r="G311" s="4">
        <f t="shared" si="30"/>
        <v>-5137.8600000000006</v>
      </c>
      <c r="H311" s="5">
        <f t="shared" si="31"/>
        <v>-3.9572226287210695E-2</v>
      </c>
      <c r="I311" t="str">
        <f t="shared" si="32"/>
        <v>under budget</v>
      </c>
    </row>
    <row r="312" spans="1:9" x14ac:dyDescent="0.25">
      <c r="A312" s="19">
        <v>46332</v>
      </c>
      <c r="B312" s="18" t="s">
        <v>29</v>
      </c>
      <c r="C312" s="18" t="s">
        <v>5</v>
      </c>
      <c r="D312" s="18" t="s">
        <v>10</v>
      </c>
      <c r="E312" s="3">
        <v>64330</v>
      </c>
      <c r="F312" s="3">
        <v>66828.78</v>
      </c>
      <c r="G312" s="4">
        <f t="shared" si="30"/>
        <v>2498.7799999999988</v>
      </c>
      <c r="H312" s="5">
        <f t="shared" si="31"/>
        <v>3.8843152494947908E-2</v>
      </c>
      <c r="I312" t="str">
        <f t="shared" si="32"/>
        <v>over budget</v>
      </c>
    </row>
    <row r="313" spans="1:9" x14ac:dyDescent="0.25">
      <c r="A313" s="19">
        <v>46333</v>
      </c>
      <c r="B313" s="18" t="s">
        <v>29</v>
      </c>
      <c r="C313" s="18" t="s">
        <v>2</v>
      </c>
      <c r="D313" s="18" t="s">
        <v>15</v>
      </c>
      <c r="E313" s="3">
        <v>2543</v>
      </c>
      <c r="F313" s="3">
        <v>2721.47</v>
      </c>
      <c r="G313" s="4">
        <f t="shared" si="30"/>
        <v>178.4699999999998</v>
      </c>
      <c r="H313" s="5">
        <f t="shared" si="31"/>
        <v>7.0180888714117109E-2</v>
      </c>
      <c r="I313" t="str">
        <f t="shared" si="32"/>
        <v>over budget</v>
      </c>
    </row>
    <row r="314" spans="1:9" x14ac:dyDescent="0.25">
      <c r="A314" s="19">
        <v>46334</v>
      </c>
      <c r="B314" s="18" t="s">
        <v>29</v>
      </c>
      <c r="C314" s="18" t="s">
        <v>2</v>
      </c>
      <c r="D314" s="18" t="s">
        <v>13</v>
      </c>
      <c r="E314" s="3">
        <v>4581</v>
      </c>
      <c r="F314" s="3">
        <v>4273.8500000000004</v>
      </c>
      <c r="G314" s="4">
        <f t="shared" si="30"/>
        <v>-307.14999999999964</v>
      </c>
      <c r="H314" s="5">
        <f t="shared" si="31"/>
        <v>-6.7048679327657637E-2</v>
      </c>
      <c r="I314" t="str">
        <f t="shared" si="32"/>
        <v>under budget</v>
      </c>
    </row>
    <row r="315" spans="1:9" x14ac:dyDescent="0.25">
      <c r="A315" s="19">
        <v>46335</v>
      </c>
      <c r="B315" s="18" t="s">
        <v>29</v>
      </c>
      <c r="C315" s="18" t="s">
        <v>5</v>
      </c>
      <c r="D315" s="18" t="s">
        <v>13</v>
      </c>
      <c r="E315" s="3">
        <v>6018</v>
      </c>
      <c r="F315" s="3">
        <v>6151.93</v>
      </c>
      <c r="G315" s="4">
        <f t="shared" si="30"/>
        <v>133.93000000000029</v>
      </c>
      <c r="H315" s="5">
        <f t="shared" si="31"/>
        <v>2.2254901960784362E-2</v>
      </c>
      <c r="I315" t="str">
        <f t="shared" si="32"/>
        <v>over budget</v>
      </c>
    </row>
    <row r="316" spans="1:9" x14ac:dyDescent="0.25">
      <c r="A316" s="19">
        <v>46336</v>
      </c>
      <c r="B316" s="18" t="s">
        <v>29</v>
      </c>
      <c r="C316" s="18" t="s">
        <v>1</v>
      </c>
      <c r="D316" s="18" t="s">
        <v>10</v>
      </c>
      <c r="E316" s="3">
        <v>91270</v>
      </c>
      <c r="F316" s="3">
        <v>97230.94</v>
      </c>
      <c r="G316" s="4">
        <f t="shared" si="30"/>
        <v>5960.9400000000023</v>
      </c>
      <c r="H316" s="5">
        <f t="shared" si="31"/>
        <v>6.5311055111208521E-2</v>
      </c>
      <c r="I316" t="str">
        <f t="shared" si="32"/>
        <v>over budget</v>
      </c>
    </row>
    <row r="317" spans="1:9" x14ac:dyDescent="0.25">
      <c r="A317" s="19">
        <v>46337</v>
      </c>
      <c r="B317" s="18" t="s">
        <v>29</v>
      </c>
      <c r="C317" s="18" t="s">
        <v>7</v>
      </c>
      <c r="D317" s="18" t="s">
        <v>15</v>
      </c>
      <c r="E317" s="3">
        <v>9894</v>
      </c>
      <c r="F317" s="3">
        <v>10512.95</v>
      </c>
      <c r="G317" s="4">
        <f t="shared" si="30"/>
        <v>618.95000000000073</v>
      </c>
      <c r="H317" s="5">
        <f t="shared" si="31"/>
        <v>6.2558116029917191E-2</v>
      </c>
      <c r="I317" t="str">
        <f t="shared" si="32"/>
        <v>over budget</v>
      </c>
    </row>
    <row r="318" spans="1:9" x14ac:dyDescent="0.25">
      <c r="A318" s="19">
        <v>46338</v>
      </c>
      <c r="B318" s="18" t="s">
        <v>29</v>
      </c>
      <c r="C318" s="18" t="s">
        <v>1</v>
      </c>
      <c r="D318" s="18" t="s">
        <v>10</v>
      </c>
      <c r="E318" s="3">
        <v>65947</v>
      </c>
      <c r="F318" s="3">
        <v>70876.34</v>
      </c>
      <c r="G318" s="4">
        <f t="shared" si="30"/>
        <v>4929.3399999999965</v>
      </c>
      <c r="H318" s="5">
        <f t="shared" si="31"/>
        <v>7.4746993798049902E-2</v>
      </c>
      <c r="I318" t="str">
        <f t="shared" si="32"/>
        <v>over budget</v>
      </c>
    </row>
    <row r="319" spans="1:9" x14ac:dyDescent="0.25">
      <c r="A319" s="19">
        <v>46339</v>
      </c>
      <c r="B319" s="18" t="s">
        <v>29</v>
      </c>
      <c r="C319" s="18" t="s">
        <v>1</v>
      </c>
      <c r="D319" s="18" t="s">
        <v>14</v>
      </c>
      <c r="E319" s="3">
        <v>9773</v>
      </c>
      <c r="F319" s="3">
        <v>9207.2000000000007</v>
      </c>
      <c r="G319" s="4">
        <f t="shared" si="30"/>
        <v>-565.79999999999927</v>
      </c>
      <c r="H319" s="5">
        <f t="shared" si="31"/>
        <v>-5.7894198301442677E-2</v>
      </c>
      <c r="I319" t="str">
        <f t="shared" si="32"/>
        <v>under budget</v>
      </c>
    </row>
    <row r="320" spans="1:9" x14ac:dyDescent="0.25">
      <c r="A320" s="19">
        <v>46340</v>
      </c>
      <c r="B320" s="18" t="s">
        <v>29</v>
      </c>
      <c r="C320" s="18" t="s">
        <v>5</v>
      </c>
      <c r="D320" s="18" t="s">
        <v>15</v>
      </c>
      <c r="E320" s="3">
        <v>2713</v>
      </c>
      <c r="F320" s="3">
        <v>2697.04</v>
      </c>
      <c r="G320" s="4">
        <f t="shared" si="30"/>
        <v>-15.960000000000036</v>
      </c>
      <c r="H320" s="5">
        <f t="shared" si="31"/>
        <v>-5.8827865831183324E-3</v>
      </c>
      <c r="I320" t="str">
        <f t="shared" si="32"/>
        <v>under budget</v>
      </c>
    </row>
    <row r="321" spans="1:9" x14ac:dyDescent="0.25">
      <c r="A321" s="19">
        <v>46341</v>
      </c>
      <c r="B321" s="18" t="s">
        <v>29</v>
      </c>
      <c r="C321" s="18" t="s">
        <v>7</v>
      </c>
      <c r="D321" s="18" t="s">
        <v>10</v>
      </c>
      <c r="E321" s="3">
        <v>61315</v>
      </c>
      <c r="F321" s="3">
        <v>68244.38</v>
      </c>
      <c r="G321" s="4">
        <f t="shared" si="30"/>
        <v>6929.3800000000047</v>
      </c>
      <c r="H321" s="5">
        <f t="shared" si="31"/>
        <v>0.11301280273994951</v>
      </c>
      <c r="I321" t="str">
        <f t="shared" si="32"/>
        <v>over budget</v>
      </c>
    </row>
    <row r="322" spans="1:9" x14ac:dyDescent="0.25">
      <c r="A322" s="19">
        <v>46342</v>
      </c>
      <c r="B322" s="18" t="s">
        <v>29</v>
      </c>
      <c r="C322" s="18" t="s">
        <v>5</v>
      </c>
      <c r="D322" s="18" t="s">
        <v>15</v>
      </c>
      <c r="E322" s="3">
        <v>4546</v>
      </c>
      <c r="F322" s="3">
        <v>4976.0200000000004</v>
      </c>
      <c r="G322" s="4">
        <f t="shared" si="30"/>
        <v>430.02000000000044</v>
      </c>
      <c r="H322" s="5">
        <f t="shared" si="31"/>
        <v>9.4593048834140006E-2</v>
      </c>
      <c r="I322" t="str">
        <f t="shared" si="32"/>
        <v>over budget</v>
      </c>
    </row>
    <row r="323" spans="1:9" x14ac:dyDescent="0.25">
      <c r="A323" s="19">
        <v>46343</v>
      </c>
      <c r="B323" s="18" t="s">
        <v>29</v>
      </c>
      <c r="C323" s="18" t="s">
        <v>6</v>
      </c>
      <c r="D323" s="18" t="s">
        <v>16</v>
      </c>
      <c r="E323" s="3">
        <v>3711</v>
      </c>
      <c r="F323" s="3">
        <v>3452.46</v>
      </c>
      <c r="G323" s="4">
        <f t="shared" si="30"/>
        <v>-258.53999999999996</v>
      </c>
      <c r="H323" s="5">
        <f t="shared" si="31"/>
        <v>-6.9668552950687135E-2</v>
      </c>
      <c r="I323" t="str">
        <f t="shared" si="32"/>
        <v>under budget</v>
      </c>
    </row>
    <row r="324" spans="1:9" x14ac:dyDescent="0.25">
      <c r="A324" s="19">
        <v>46344</v>
      </c>
      <c r="B324" s="18" t="s">
        <v>29</v>
      </c>
      <c r="C324" s="18" t="s">
        <v>1</v>
      </c>
      <c r="D324" s="18" t="s">
        <v>11</v>
      </c>
      <c r="E324" s="3">
        <v>44501</v>
      </c>
      <c r="F324" s="3">
        <v>47643.54</v>
      </c>
      <c r="G324" s="4">
        <f t="shared" si="30"/>
        <v>3142.5400000000009</v>
      </c>
      <c r="H324" s="5">
        <f t="shared" si="31"/>
        <v>7.0617289499112404E-2</v>
      </c>
      <c r="I324" t="str">
        <f t="shared" si="32"/>
        <v>over budget</v>
      </c>
    </row>
    <row r="325" spans="1:9" x14ac:dyDescent="0.25">
      <c r="A325" s="19">
        <v>46345</v>
      </c>
      <c r="B325" s="18" t="s">
        <v>29</v>
      </c>
      <c r="C325" s="18" t="s">
        <v>8</v>
      </c>
      <c r="D325" s="18" t="s">
        <v>14</v>
      </c>
      <c r="E325" s="3">
        <v>17578</v>
      </c>
      <c r="F325" s="3">
        <v>18120.73</v>
      </c>
      <c r="G325" s="4">
        <f t="shared" si="30"/>
        <v>542.72999999999956</v>
      </c>
      <c r="H325" s="5">
        <f t="shared" si="31"/>
        <v>3.0875526225964248E-2</v>
      </c>
      <c r="I325" t="str">
        <f t="shared" si="32"/>
        <v>over budget</v>
      </c>
    </row>
    <row r="326" spans="1:9" x14ac:dyDescent="0.25">
      <c r="A326" s="19">
        <v>46346</v>
      </c>
      <c r="B326" s="18" t="s">
        <v>29</v>
      </c>
      <c r="C326" s="18" t="s">
        <v>2</v>
      </c>
      <c r="D326" s="18" t="s">
        <v>10</v>
      </c>
      <c r="E326" s="3">
        <v>91944</v>
      </c>
      <c r="F326" s="3">
        <v>101149.22</v>
      </c>
      <c r="G326" s="4">
        <f t="shared" si="30"/>
        <v>9205.2200000000012</v>
      </c>
      <c r="H326" s="5">
        <f t="shared" si="31"/>
        <v>0.10011768032715568</v>
      </c>
      <c r="I326" t="str">
        <f t="shared" si="32"/>
        <v>over budget</v>
      </c>
    </row>
    <row r="327" spans="1:9" x14ac:dyDescent="0.25">
      <c r="A327" s="19">
        <v>46347</v>
      </c>
      <c r="B327" s="18" t="s">
        <v>29</v>
      </c>
      <c r="C327" s="18" t="s">
        <v>4</v>
      </c>
      <c r="D327" s="18" t="s">
        <v>14</v>
      </c>
      <c r="E327" s="3">
        <v>10458</v>
      </c>
      <c r="F327" s="3">
        <v>10363.48</v>
      </c>
      <c r="G327" s="4">
        <f t="shared" si="30"/>
        <v>-94.520000000000437</v>
      </c>
      <c r="H327" s="5">
        <f t="shared" si="31"/>
        <v>-9.0380569898642609E-3</v>
      </c>
      <c r="I327" t="str">
        <f t="shared" si="32"/>
        <v>under budget</v>
      </c>
    </row>
    <row r="328" spans="1:9" x14ac:dyDescent="0.25">
      <c r="A328" s="19">
        <v>46348</v>
      </c>
      <c r="B328" s="18" t="s">
        <v>29</v>
      </c>
      <c r="C328" s="18" t="s">
        <v>2</v>
      </c>
      <c r="D328" s="18" t="s">
        <v>13</v>
      </c>
      <c r="E328" s="3">
        <v>5652</v>
      </c>
      <c r="F328" s="3">
        <v>6194.29</v>
      </c>
      <c r="G328" s="4">
        <f t="shared" si="30"/>
        <v>542.29</v>
      </c>
      <c r="H328" s="5">
        <f t="shared" si="31"/>
        <v>9.5946567586694967E-2</v>
      </c>
      <c r="I328" t="str">
        <f t="shared" si="32"/>
        <v>over budget</v>
      </c>
    </row>
    <row r="329" spans="1:9" x14ac:dyDescent="0.25">
      <c r="A329" s="19">
        <v>46349</v>
      </c>
      <c r="B329" s="18" t="s">
        <v>29</v>
      </c>
      <c r="C329" s="18" t="s">
        <v>7</v>
      </c>
      <c r="D329" s="18" t="s">
        <v>14</v>
      </c>
      <c r="E329" s="3">
        <v>12859</v>
      </c>
      <c r="F329" s="3">
        <v>11742.25</v>
      </c>
      <c r="G329" s="4">
        <f t="shared" si="30"/>
        <v>-1116.75</v>
      </c>
      <c r="H329" s="5">
        <f t="shared" si="31"/>
        <v>-8.6845788941597321E-2</v>
      </c>
      <c r="I329" t="str">
        <f t="shared" si="32"/>
        <v>under budget</v>
      </c>
    </row>
    <row r="330" spans="1:9" x14ac:dyDescent="0.25">
      <c r="A330" s="19">
        <v>46350</v>
      </c>
      <c r="B330" s="18" t="s">
        <v>29</v>
      </c>
      <c r="C330" s="18" t="s">
        <v>7</v>
      </c>
      <c r="D330" s="18" t="s">
        <v>12</v>
      </c>
      <c r="E330" s="3">
        <v>5132</v>
      </c>
      <c r="F330" s="3">
        <v>5531.96</v>
      </c>
      <c r="G330" s="4">
        <f t="shared" si="30"/>
        <v>399.96000000000004</v>
      </c>
      <c r="H330" s="5">
        <f t="shared" si="31"/>
        <v>7.7934528448947785E-2</v>
      </c>
      <c r="I330" t="str">
        <f t="shared" si="32"/>
        <v>over budget</v>
      </c>
    </row>
    <row r="331" spans="1:9" x14ac:dyDescent="0.25">
      <c r="A331" s="19">
        <v>46351</v>
      </c>
      <c r="B331" s="18" t="s">
        <v>29</v>
      </c>
      <c r="C331" s="18" t="s">
        <v>1</v>
      </c>
      <c r="D331" s="18" t="s">
        <v>11</v>
      </c>
      <c r="E331" s="3">
        <v>23862</v>
      </c>
      <c r="F331" s="3">
        <v>22359.99</v>
      </c>
      <c r="G331" s="4">
        <f t="shared" si="30"/>
        <v>-1502.0099999999984</v>
      </c>
      <c r="H331" s="5">
        <f t="shared" si="31"/>
        <v>-6.294568770429966E-2</v>
      </c>
      <c r="I331" t="str">
        <f t="shared" si="32"/>
        <v>under budget</v>
      </c>
    </row>
    <row r="332" spans="1:9" x14ac:dyDescent="0.25">
      <c r="A332" s="19">
        <v>46352</v>
      </c>
      <c r="B332" s="18" t="s">
        <v>29</v>
      </c>
      <c r="C332" s="18" t="s">
        <v>6</v>
      </c>
      <c r="D332" s="18" t="s">
        <v>14</v>
      </c>
      <c r="E332" s="3">
        <v>11280</v>
      </c>
      <c r="F332" s="3">
        <v>10328.74</v>
      </c>
      <c r="G332" s="4">
        <f t="shared" si="30"/>
        <v>-951.26000000000022</v>
      </c>
      <c r="H332" s="5">
        <f t="shared" si="31"/>
        <v>-8.4331560283687962E-2</v>
      </c>
      <c r="I332" t="str">
        <f t="shared" si="32"/>
        <v>under budget</v>
      </c>
    </row>
    <row r="333" spans="1:9" x14ac:dyDescent="0.25">
      <c r="A333" s="19">
        <v>46353</v>
      </c>
      <c r="B333" s="18" t="s">
        <v>29</v>
      </c>
      <c r="C333" s="18" t="s">
        <v>5</v>
      </c>
      <c r="D333" s="18" t="s">
        <v>10</v>
      </c>
      <c r="E333" s="3">
        <v>69906</v>
      </c>
      <c r="F333" s="3">
        <v>68249.63</v>
      </c>
      <c r="G333" s="4">
        <f t="shared" si="30"/>
        <v>-1656.3699999999953</v>
      </c>
      <c r="H333" s="5">
        <f t="shared" si="31"/>
        <v>-2.3694246559665771E-2</v>
      </c>
      <c r="I333" t="str">
        <f t="shared" si="32"/>
        <v>under budget</v>
      </c>
    </row>
    <row r="334" spans="1:9" x14ac:dyDescent="0.25">
      <c r="A334" s="19">
        <v>46354</v>
      </c>
      <c r="B334" s="18" t="s">
        <v>29</v>
      </c>
      <c r="C334" s="18" t="s">
        <v>1</v>
      </c>
      <c r="D334" s="18" t="s">
        <v>12</v>
      </c>
      <c r="E334" s="3">
        <v>8020</v>
      </c>
      <c r="F334" s="3">
        <v>8503.57</v>
      </c>
      <c r="G334" s="4">
        <f t="shared" si="30"/>
        <v>483.56999999999971</v>
      </c>
      <c r="H334" s="5">
        <f t="shared" si="31"/>
        <v>6.0295511221945104E-2</v>
      </c>
      <c r="I334" t="str">
        <f t="shared" si="32"/>
        <v>over budget</v>
      </c>
    </row>
    <row r="335" spans="1:9" x14ac:dyDescent="0.25">
      <c r="A335" s="19">
        <v>46355</v>
      </c>
      <c r="B335" s="18" t="s">
        <v>29</v>
      </c>
      <c r="C335" s="18" t="s">
        <v>2</v>
      </c>
      <c r="D335" s="18" t="s">
        <v>13</v>
      </c>
      <c r="E335" s="3">
        <v>5275</v>
      </c>
      <c r="F335" s="3">
        <v>5779.22</v>
      </c>
      <c r="G335" s="4">
        <f t="shared" si="30"/>
        <v>504.22000000000025</v>
      </c>
      <c r="H335" s="5">
        <f t="shared" si="31"/>
        <v>9.5586729857819949E-2</v>
      </c>
      <c r="I335" t="str">
        <f t="shared" si="32"/>
        <v>over budget</v>
      </c>
    </row>
    <row r="336" spans="1:9" x14ac:dyDescent="0.25">
      <c r="A336" s="19">
        <v>46356</v>
      </c>
      <c r="B336" s="18" t="s">
        <v>29</v>
      </c>
      <c r="C336" s="18" t="s">
        <v>3</v>
      </c>
      <c r="D336" s="18" t="s">
        <v>14</v>
      </c>
      <c r="E336" s="3">
        <v>15937</v>
      </c>
      <c r="F336" s="3">
        <v>16191.27</v>
      </c>
      <c r="G336" s="4">
        <f t="shared" ref="G336:G366" si="33">F336-E336</f>
        <v>254.27000000000044</v>
      </c>
      <c r="H336" s="5">
        <f t="shared" ref="H336:H366" si="34">IFERROR(G336/E336,0)</f>
        <v>1.595469661793314E-2</v>
      </c>
      <c r="I336" t="str">
        <f t="shared" ref="I336:I366" si="35">IF(G336&gt;0,"over budget","under budget")</f>
        <v>over budget</v>
      </c>
    </row>
    <row r="337" spans="1:9" x14ac:dyDescent="0.25">
      <c r="A337" s="19">
        <v>46357</v>
      </c>
      <c r="B337" s="18" t="s">
        <v>30</v>
      </c>
      <c r="C337" s="18" t="s">
        <v>4</v>
      </c>
      <c r="D337" s="18" t="s">
        <v>13</v>
      </c>
      <c r="E337" s="3">
        <v>6190</v>
      </c>
      <c r="F337" s="3">
        <v>6730.83</v>
      </c>
      <c r="G337" s="4">
        <f t="shared" si="33"/>
        <v>540.82999999999993</v>
      </c>
      <c r="H337" s="5">
        <f t="shared" si="34"/>
        <v>8.7371567043618731E-2</v>
      </c>
      <c r="I337" t="str">
        <f t="shared" si="35"/>
        <v>over budget</v>
      </c>
    </row>
    <row r="338" spans="1:9" x14ac:dyDescent="0.25">
      <c r="A338" s="19">
        <v>46358</v>
      </c>
      <c r="B338" s="18" t="s">
        <v>30</v>
      </c>
      <c r="C338" s="18" t="s">
        <v>2</v>
      </c>
      <c r="D338" s="18" t="s">
        <v>10</v>
      </c>
      <c r="E338" s="3">
        <v>118787</v>
      </c>
      <c r="F338" s="3">
        <v>110411.33</v>
      </c>
      <c r="G338" s="4">
        <f t="shared" si="33"/>
        <v>-8375.6699999999983</v>
      </c>
      <c r="H338" s="5">
        <f t="shared" si="34"/>
        <v>-7.0509988466751397E-2</v>
      </c>
      <c r="I338" t="str">
        <f t="shared" si="35"/>
        <v>under budget</v>
      </c>
    </row>
    <row r="339" spans="1:9" x14ac:dyDescent="0.25">
      <c r="A339" s="19">
        <v>46359</v>
      </c>
      <c r="B339" s="18" t="s">
        <v>30</v>
      </c>
      <c r="C339" s="18" t="s">
        <v>8</v>
      </c>
      <c r="D339" s="18" t="s">
        <v>14</v>
      </c>
      <c r="E339" s="3">
        <v>20311</v>
      </c>
      <c r="F339" s="3">
        <v>18462.830000000002</v>
      </c>
      <c r="G339" s="4">
        <f t="shared" si="33"/>
        <v>-1848.1699999999983</v>
      </c>
      <c r="H339" s="5">
        <f t="shared" si="34"/>
        <v>-9.0993550292944619E-2</v>
      </c>
      <c r="I339" t="str">
        <f t="shared" si="35"/>
        <v>under budget</v>
      </c>
    </row>
    <row r="340" spans="1:9" x14ac:dyDescent="0.25">
      <c r="A340" s="19">
        <v>46360</v>
      </c>
      <c r="B340" s="18" t="s">
        <v>30</v>
      </c>
      <c r="C340" s="18" t="s">
        <v>1</v>
      </c>
      <c r="D340" s="18" t="s">
        <v>14</v>
      </c>
      <c r="E340" s="3">
        <v>20383</v>
      </c>
      <c r="F340" s="3">
        <v>22057.39</v>
      </c>
      <c r="G340" s="4">
        <f t="shared" si="33"/>
        <v>1674.3899999999994</v>
      </c>
      <c r="H340" s="5">
        <f t="shared" si="34"/>
        <v>8.2146396506892969E-2</v>
      </c>
      <c r="I340" t="str">
        <f t="shared" si="35"/>
        <v>over budget</v>
      </c>
    </row>
    <row r="341" spans="1:9" x14ac:dyDescent="0.25">
      <c r="A341" s="19">
        <v>46361</v>
      </c>
      <c r="B341" s="18" t="s">
        <v>30</v>
      </c>
      <c r="C341" s="18" t="s">
        <v>4</v>
      </c>
      <c r="D341" s="18" t="s">
        <v>14</v>
      </c>
      <c r="E341" s="3">
        <v>21844</v>
      </c>
      <c r="F341" s="3">
        <v>22221.01</v>
      </c>
      <c r="G341" s="4">
        <f t="shared" si="33"/>
        <v>377.0099999999984</v>
      </c>
      <c r="H341" s="5">
        <f t="shared" si="34"/>
        <v>1.7259201611426404E-2</v>
      </c>
      <c r="I341" t="str">
        <f t="shared" si="35"/>
        <v>over budget</v>
      </c>
    </row>
    <row r="342" spans="1:9" x14ac:dyDescent="0.25">
      <c r="A342" s="19">
        <v>46362</v>
      </c>
      <c r="B342" s="18" t="s">
        <v>30</v>
      </c>
      <c r="C342" s="18" t="s">
        <v>8</v>
      </c>
      <c r="D342" s="18" t="s">
        <v>17</v>
      </c>
      <c r="E342" s="3">
        <v>15487</v>
      </c>
      <c r="F342" s="3">
        <v>15268.64</v>
      </c>
      <c r="G342" s="4">
        <f t="shared" si="33"/>
        <v>-218.36000000000058</v>
      </c>
      <c r="H342" s="5">
        <f t="shared" si="34"/>
        <v>-1.409956737909218E-2</v>
      </c>
      <c r="I342" t="str">
        <f t="shared" si="35"/>
        <v>under budget</v>
      </c>
    </row>
    <row r="343" spans="1:9" x14ac:dyDescent="0.25">
      <c r="A343" s="19">
        <v>46363</v>
      </c>
      <c r="B343" s="18" t="s">
        <v>30</v>
      </c>
      <c r="C343" s="18" t="s">
        <v>1</v>
      </c>
      <c r="D343" s="18" t="s">
        <v>15</v>
      </c>
      <c r="E343" s="3">
        <v>7901</v>
      </c>
      <c r="F343" s="3">
        <v>7801.59</v>
      </c>
      <c r="G343" s="4">
        <f t="shared" si="33"/>
        <v>-99.409999999999854</v>
      </c>
      <c r="H343" s="5">
        <f t="shared" si="34"/>
        <v>-1.2581951651689641E-2</v>
      </c>
      <c r="I343" t="str">
        <f t="shared" si="35"/>
        <v>under budget</v>
      </c>
    </row>
    <row r="344" spans="1:9" x14ac:dyDescent="0.25">
      <c r="A344" s="19">
        <v>46364</v>
      </c>
      <c r="B344" s="18" t="s">
        <v>30</v>
      </c>
      <c r="C344" s="18" t="s">
        <v>6</v>
      </c>
      <c r="D344" s="18" t="s">
        <v>11</v>
      </c>
      <c r="E344" s="3">
        <v>27233</v>
      </c>
      <c r="F344" s="3">
        <v>28443.91</v>
      </c>
      <c r="G344" s="4">
        <f t="shared" si="33"/>
        <v>1210.9099999999999</v>
      </c>
      <c r="H344" s="5">
        <f t="shared" si="34"/>
        <v>4.4464803730767812E-2</v>
      </c>
      <c r="I344" t="str">
        <f t="shared" si="35"/>
        <v>over budget</v>
      </c>
    </row>
    <row r="345" spans="1:9" x14ac:dyDescent="0.25">
      <c r="A345" s="19">
        <v>46365</v>
      </c>
      <c r="B345" s="18" t="s">
        <v>30</v>
      </c>
      <c r="C345" s="18" t="s">
        <v>5</v>
      </c>
      <c r="D345" s="18" t="s">
        <v>10</v>
      </c>
      <c r="E345" s="3">
        <v>52628</v>
      </c>
      <c r="F345" s="3">
        <v>53428.43</v>
      </c>
      <c r="G345" s="4">
        <f t="shared" si="33"/>
        <v>800.43000000000029</v>
      </c>
      <c r="H345" s="5">
        <f t="shared" si="34"/>
        <v>1.5209204225887367E-2</v>
      </c>
      <c r="I345" t="str">
        <f t="shared" si="35"/>
        <v>over budget</v>
      </c>
    </row>
    <row r="346" spans="1:9" x14ac:dyDescent="0.25">
      <c r="A346" s="19">
        <v>46366</v>
      </c>
      <c r="B346" s="18" t="s">
        <v>30</v>
      </c>
      <c r="C346" s="18" t="s">
        <v>6</v>
      </c>
      <c r="D346" s="18" t="s">
        <v>12</v>
      </c>
      <c r="E346" s="3">
        <v>6052</v>
      </c>
      <c r="F346" s="3">
        <v>6010.25</v>
      </c>
      <c r="G346" s="4">
        <f t="shared" si="33"/>
        <v>-41.75</v>
      </c>
      <c r="H346" s="5">
        <f t="shared" si="34"/>
        <v>-6.8985459352280242E-3</v>
      </c>
      <c r="I346" t="str">
        <f t="shared" si="35"/>
        <v>under budget</v>
      </c>
    </row>
    <row r="347" spans="1:9" x14ac:dyDescent="0.25">
      <c r="A347" s="19">
        <v>46367</v>
      </c>
      <c r="B347" s="18" t="s">
        <v>30</v>
      </c>
      <c r="C347" s="18" t="s">
        <v>3</v>
      </c>
      <c r="D347" s="18" t="s">
        <v>17</v>
      </c>
      <c r="E347" s="3">
        <v>19661</v>
      </c>
      <c r="F347" s="3">
        <v>19044.43</v>
      </c>
      <c r="G347" s="4">
        <f t="shared" si="33"/>
        <v>-616.56999999999971</v>
      </c>
      <c r="H347" s="5">
        <f t="shared" si="34"/>
        <v>-3.136005289659731E-2</v>
      </c>
      <c r="I347" t="str">
        <f t="shared" si="35"/>
        <v>under budget</v>
      </c>
    </row>
    <row r="348" spans="1:9" x14ac:dyDescent="0.25">
      <c r="A348" s="19">
        <v>46368</v>
      </c>
      <c r="B348" s="18" t="s">
        <v>30</v>
      </c>
      <c r="C348" s="18" t="s">
        <v>4</v>
      </c>
      <c r="D348" s="18" t="s">
        <v>12</v>
      </c>
      <c r="E348" s="3">
        <v>3307</v>
      </c>
      <c r="F348" s="3">
        <v>3192.28</v>
      </c>
      <c r="G348" s="4">
        <f t="shared" si="33"/>
        <v>-114.7199999999998</v>
      </c>
      <c r="H348" s="5">
        <f t="shared" si="34"/>
        <v>-3.4690051406108195E-2</v>
      </c>
      <c r="I348" t="str">
        <f t="shared" si="35"/>
        <v>under budget</v>
      </c>
    </row>
    <row r="349" spans="1:9" x14ac:dyDescent="0.25">
      <c r="A349" s="19">
        <v>46369</v>
      </c>
      <c r="B349" s="18" t="s">
        <v>30</v>
      </c>
      <c r="C349" s="18" t="s">
        <v>1</v>
      </c>
      <c r="D349" s="18" t="s">
        <v>14</v>
      </c>
      <c r="E349" s="3">
        <v>12644</v>
      </c>
      <c r="F349" s="3">
        <v>13311.9</v>
      </c>
      <c r="G349" s="4">
        <f t="shared" si="33"/>
        <v>667.89999999999964</v>
      </c>
      <c r="H349" s="5">
        <f t="shared" si="34"/>
        <v>5.2823473584308736E-2</v>
      </c>
      <c r="I349" t="str">
        <f t="shared" si="35"/>
        <v>over budget</v>
      </c>
    </row>
    <row r="350" spans="1:9" x14ac:dyDescent="0.25">
      <c r="A350" s="19">
        <v>46370</v>
      </c>
      <c r="B350" s="18" t="s">
        <v>30</v>
      </c>
      <c r="C350" s="18" t="s">
        <v>5</v>
      </c>
      <c r="D350" s="18" t="s">
        <v>15</v>
      </c>
      <c r="E350" s="3">
        <v>8952</v>
      </c>
      <c r="F350" s="3">
        <v>9303.34</v>
      </c>
      <c r="G350" s="4">
        <f t="shared" si="33"/>
        <v>351.34000000000015</v>
      </c>
      <c r="H350" s="5">
        <f t="shared" si="34"/>
        <v>3.9247095621090272E-2</v>
      </c>
      <c r="I350" t="str">
        <f t="shared" si="35"/>
        <v>over budget</v>
      </c>
    </row>
    <row r="351" spans="1:9" x14ac:dyDescent="0.25">
      <c r="A351" s="19">
        <v>46371</v>
      </c>
      <c r="B351" s="18" t="s">
        <v>30</v>
      </c>
      <c r="C351" s="18" t="s">
        <v>5</v>
      </c>
      <c r="D351" s="18" t="s">
        <v>17</v>
      </c>
      <c r="E351" s="3">
        <v>20050</v>
      </c>
      <c r="F351" s="3">
        <v>20966.64</v>
      </c>
      <c r="G351" s="4">
        <f t="shared" si="33"/>
        <v>916.63999999999942</v>
      </c>
      <c r="H351" s="5">
        <f t="shared" si="34"/>
        <v>4.5717705735660821E-2</v>
      </c>
      <c r="I351" t="str">
        <f t="shared" si="35"/>
        <v>over budget</v>
      </c>
    </row>
    <row r="352" spans="1:9" x14ac:dyDescent="0.25">
      <c r="A352" s="19">
        <v>46372</v>
      </c>
      <c r="B352" s="18" t="s">
        <v>30</v>
      </c>
      <c r="C352" s="18" t="s">
        <v>7</v>
      </c>
      <c r="D352" s="18" t="s">
        <v>14</v>
      </c>
      <c r="E352" s="3">
        <v>13495</v>
      </c>
      <c r="F352" s="3">
        <v>13717.49</v>
      </c>
      <c r="G352" s="4">
        <f t="shared" si="33"/>
        <v>222.48999999999978</v>
      </c>
      <c r="H352" s="5">
        <f t="shared" si="34"/>
        <v>1.6486846980363082E-2</v>
      </c>
      <c r="I352" t="str">
        <f t="shared" si="35"/>
        <v>over budget</v>
      </c>
    </row>
    <row r="353" spans="1:9" x14ac:dyDescent="0.25">
      <c r="A353" s="19">
        <v>46373</v>
      </c>
      <c r="B353" s="18" t="s">
        <v>30</v>
      </c>
      <c r="C353" s="18" t="s">
        <v>4</v>
      </c>
      <c r="D353" s="18" t="s">
        <v>16</v>
      </c>
      <c r="E353" s="3">
        <v>8154</v>
      </c>
      <c r="F353" s="3">
        <v>8451.66</v>
      </c>
      <c r="G353" s="4">
        <f t="shared" si="33"/>
        <v>297.65999999999985</v>
      </c>
      <c r="H353" s="5">
        <f t="shared" si="34"/>
        <v>3.6504782928623969E-2</v>
      </c>
      <c r="I353" t="str">
        <f t="shared" si="35"/>
        <v>over budget</v>
      </c>
    </row>
    <row r="354" spans="1:9" x14ac:dyDescent="0.25">
      <c r="A354" s="19">
        <v>46374</v>
      </c>
      <c r="B354" s="18" t="s">
        <v>30</v>
      </c>
      <c r="C354" s="18" t="s">
        <v>7</v>
      </c>
      <c r="D354" s="18" t="s">
        <v>14</v>
      </c>
      <c r="E354" s="3">
        <v>19743</v>
      </c>
      <c r="F354" s="3">
        <v>17985.04</v>
      </c>
      <c r="G354" s="4">
        <f t="shared" si="33"/>
        <v>-1757.9599999999991</v>
      </c>
      <c r="H354" s="5">
        <f t="shared" si="34"/>
        <v>-8.904219216937645E-2</v>
      </c>
      <c r="I354" t="str">
        <f t="shared" si="35"/>
        <v>under budget</v>
      </c>
    </row>
    <row r="355" spans="1:9" x14ac:dyDescent="0.25">
      <c r="A355" s="19">
        <v>46375</v>
      </c>
      <c r="B355" s="18" t="s">
        <v>30</v>
      </c>
      <c r="C355" s="18" t="s">
        <v>5</v>
      </c>
      <c r="D355" s="18" t="s">
        <v>12</v>
      </c>
      <c r="E355" s="3">
        <v>3908</v>
      </c>
      <c r="F355" s="3">
        <v>3840.59</v>
      </c>
      <c r="G355" s="4">
        <f t="shared" si="33"/>
        <v>-67.409999999999854</v>
      </c>
      <c r="H355" s="5">
        <f t="shared" si="34"/>
        <v>-1.724923234390989E-2</v>
      </c>
      <c r="I355" t="str">
        <f t="shared" si="35"/>
        <v>under budget</v>
      </c>
    </row>
    <row r="356" spans="1:9" x14ac:dyDescent="0.25">
      <c r="A356" s="19">
        <v>46376</v>
      </c>
      <c r="B356" s="18" t="s">
        <v>30</v>
      </c>
      <c r="C356" s="18" t="s">
        <v>7</v>
      </c>
      <c r="D356" s="18" t="s">
        <v>17</v>
      </c>
      <c r="E356" s="3">
        <v>9490</v>
      </c>
      <c r="F356" s="3">
        <v>8737.1299999999992</v>
      </c>
      <c r="G356" s="4">
        <f t="shared" si="33"/>
        <v>-752.8700000000008</v>
      </c>
      <c r="H356" s="5">
        <f t="shared" si="34"/>
        <v>-7.9332982086406822E-2</v>
      </c>
      <c r="I356" t="str">
        <f t="shared" si="35"/>
        <v>under budget</v>
      </c>
    </row>
    <row r="357" spans="1:9" x14ac:dyDescent="0.25">
      <c r="A357" s="19">
        <v>46377</v>
      </c>
      <c r="B357" s="18" t="s">
        <v>30</v>
      </c>
      <c r="C357" s="18" t="s">
        <v>4</v>
      </c>
      <c r="D357" s="18" t="s">
        <v>16</v>
      </c>
      <c r="E357" s="3">
        <v>7344</v>
      </c>
      <c r="F357" s="3">
        <v>6667.38</v>
      </c>
      <c r="G357" s="4">
        <f t="shared" si="33"/>
        <v>-676.61999999999989</v>
      </c>
      <c r="H357" s="5">
        <f t="shared" si="34"/>
        <v>-9.2132352941176457E-2</v>
      </c>
      <c r="I357" t="str">
        <f t="shared" si="35"/>
        <v>under budget</v>
      </c>
    </row>
    <row r="358" spans="1:9" x14ac:dyDescent="0.25">
      <c r="A358" s="19">
        <v>46378</v>
      </c>
      <c r="B358" s="18" t="s">
        <v>30</v>
      </c>
      <c r="C358" s="18" t="s">
        <v>5</v>
      </c>
      <c r="D358" s="18" t="s">
        <v>13</v>
      </c>
      <c r="E358" s="3">
        <v>8638</v>
      </c>
      <c r="F358" s="3">
        <v>9459.94</v>
      </c>
      <c r="G358" s="4">
        <f t="shared" si="33"/>
        <v>821.94000000000051</v>
      </c>
      <c r="H358" s="5">
        <f t="shared" si="34"/>
        <v>9.5153970826580281E-2</v>
      </c>
      <c r="I358" t="str">
        <f t="shared" si="35"/>
        <v>over budget</v>
      </c>
    </row>
    <row r="359" spans="1:9" x14ac:dyDescent="0.25">
      <c r="A359" s="19">
        <v>46379</v>
      </c>
      <c r="B359" s="18" t="s">
        <v>30</v>
      </c>
      <c r="C359" s="18" t="s">
        <v>5</v>
      </c>
      <c r="D359" s="18" t="s">
        <v>11</v>
      </c>
      <c r="E359" s="3">
        <v>31048</v>
      </c>
      <c r="F359" s="3">
        <v>30020.81</v>
      </c>
      <c r="G359" s="4">
        <f t="shared" si="33"/>
        <v>-1027.1899999999987</v>
      </c>
      <c r="H359" s="5">
        <f t="shared" si="34"/>
        <v>-3.308393455295023E-2</v>
      </c>
      <c r="I359" t="str">
        <f t="shared" si="35"/>
        <v>under budget</v>
      </c>
    </row>
    <row r="360" spans="1:9" x14ac:dyDescent="0.25">
      <c r="A360" s="19">
        <v>46380</v>
      </c>
      <c r="B360" s="18" t="s">
        <v>30</v>
      </c>
      <c r="C360" s="18" t="s">
        <v>2</v>
      </c>
      <c r="D360" s="18" t="s">
        <v>10</v>
      </c>
      <c r="E360" s="3">
        <v>55819</v>
      </c>
      <c r="F360" s="3">
        <v>58139.88</v>
      </c>
      <c r="G360" s="4">
        <f t="shared" si="33"/>
        <v>2320.8799999999974</v>
      </c>
      <c r="H360" s="5">
        <f t="shared" si="34"/>
        <v>4.1578673928232272E-2</v>
      </c>
      <c r="I360" t="str">
        <f t="shared" si="35"/>
        <v>over budget</v>
      </c>
    </row>
    <row r="361" spans="1:9" x14ac:dyDescent="0.25">
      <c r="A361" s="19">
        <v>46381</v>
      </c>
      <c r="B361" s="18" t="s">
        <v>30</v>
      </c>
      <c r="C361" s="18" t="s">
        <v>8</v>
      </c>
      <c r="D361" s="18" t="s">
        <v>12</v>
      </c>
      <c r="E361" s="3">
        <v>6985</v>
      </c>
      <c r="F361" s="3">
        <v>7363.52</v>
      </c>
      <c r="G361" s="4">
        <f t="shared" si="33"/>
        <v>378.52000000000044</v>
      </c>
      <c r="H361" s="5">
        <f t="shared" si="34"/>
        <v>5.4190408017179732E-2</v>
      </c>
      <c r="I361" t="str">
        <f t="shared" si="35"/>
        <v>over budget</v>
      </c>
    </row>
    <row r="362" spans="1:9" x14ac:dyDescent="0.25">
      <c r="A362" s="19">
        <v>46382</v>
      </c>
      <c r="B362" s="18" t="s">
        <v>30</v>
      </c>
      <c r="C362" s="18" t="s">
        <v>2</v>
      </c>
      <c r="D362" s="18" t="s">
        <v>16</v>
      </c>
      <c r="E362" s="3">
        <v>6351</v>
      </c>
      <c r="F362" s="3">
        <v>6505.5</v>
      </c>
      <c r="G362" s="4">
        <f t="shared" si="33"/>
        <v>154.5</v>
      </c>
      <c r="H362" s="5">
        <f t="shared" si="34"/>
        <v>2.4326877657061881E-2</v>
      </c>
      <c r="I362" t="str">
        <f t="shared" si="35"/>
        <v>over budget</v>
      </c>
    </row>
    <row r="363" spans="1:9" x14ac:dyDescent="0.25">
      <c r="A363" s="19">
        <v>46383</v>
      </c>
      <c r="B363" s="18" t="s">
        <v>30</v>
      </c>
      <c r="C363" s="18" t="s">
        <v>1</v>
      </c>
      <c r="D363" s="18" t="s">
        <v>11</v>
      </c>
      <c r="E363" s="3">
        <v>25123</v>
      </c>
      <c r="F363" s="3">
        <v>27307.47</v>
      </c>
      <c r="G363" s="4">
        <f t="shared" si="33"/>
        <v>2184.4700000000012</v>
      </c>
      <c r="H363" s="5">
        <f t="shared" si="34"/>
        <v>8.6951001074712458E-2</v>
      </c>
      <c r="I363" t="str">
        <f t="shared" si="35"/>
        <v>over budget</v>
      </c>
    </row>
    <row r="364" spans="1:9" x14ac:dyDescent="0.25">
      <c r="A364" s="19">
        <v>46384</v>
      </c>
      <c r="B364" s="18" t="s">
        <v>30</v>
      </c>
      <c r="C364" s="18" t="s">
        <v>4</v>
      </c>
      <c r="D364" s="18" t="s">
        <v>17</v>
      </c>
      <c r="E364" s="3">
        <v>20534</v>
      </c>
      <c r="F364" s="3">
        <v>22518.17</v>
      </c>
      <c r="G364" s="4">
        <f t="shared" si="33"/>
        <v>1984.1699999999983</v>
      </c>
      <c r="H364" s="5">
        <f t="shared" si="34"/>
        <v>9.6628518554592299E-2</v>
      </c>
      <c r="I364" t="str">
        <f t="shared" si="35"/>
        <v>over budget</v>
      </c>
    </row>
    <row r="365" spans="1:9" x14ac:dyDescent="0.25">
      <c r="A365" s="19">
        <v>46385</v>
      </c>
      <c r="B365" s="18" t="s">
        <v>30</v>
      </c>
      <c r="C365" s="18" t="s">
        <v>2</v>
      </c>
      <c r="D365" s="18" t="s">
        <v>15</v>
      </c>
      <c r="E365" s="3">
        <v>5554</v>
      </c>
      <c r="F365" s="3">
        <v>5182.2299999999996</v>
      </c>
      <c r="G365" s="4">
        <f t="shared" si="33"/>
        <v>-371.77000000000044</v>
      </c>
      <c r="H365" s="5">
        <f t="shared" si="34"/>
        <v>-6.6937342455887727E-2</v>
      </c>
      <c r="I365" t="str">
        <f t="shared" si="35"/>
        <v>under budget</v>
      </c>
    </row>
    <row r="366" spans="1:9" x14ac:dyDescent="0.25">
      <c r="A366" s="19">
        <v>46386</v>
      </c>
      <c r="B366" s="18" t="s">
        <v>30</v>
      </c>
      <c r="C366" s="18" t="s">
        <v>8</v>
      </c>
      <c r="D366" s="18" t="s">
        <v>12</v>
      </c>
      <c r="E366" s="3">
        <v>2848</v>
      </c>
      <c r="F366" s="3">
        <v>2916.55</v>
      </c>
      <c r="G366" s="4">
        <f t="shared" si="33"/>
        <v>68.550000000000182</v>
      </c>
      <c r="H366" s="5">
        <f t="shared" si="34"/>
        <v>2.4069522471910177E-2</v>
      </c>
      <c r="I366" t="str">
        <f t="shared" si="35"/>
        <v>over budget</v>
      </c>
    </row>
  </sheetData>
  <conditionalFormatting sqref="G2:G366">
    <cfRule type="cellIs" dxfId="1" priority="1" operator="lessThan">
      <formula>0</formula>
    </cfRule>
    <cfRule type="cellIs" dxfId="0" priority="2" operator="greaterThan">
      <formula>0</formula>
    </cfRule>
  </conditionalFormatting>
  <dataValidations count="5">
    <dataValidation type="list" allowBlank="1" showInputMessage="1" showErrorMessage="1" sqref="B2:B366" xr:uid="{9C196435-A429-4C80-B768-5FA9B80915DC}">
      <formula1>$B$2:$B$366</formula1>
    </dataValidation>
    <dataValidation type="list" allowBlank="1" showInputMessage="1" showErrorMessage="1" sqref="C2:C366" xr:uid="{272208B1-A493-464F-AE6E-4770636CCBD0}">
      <formula1>$C$2:$C$366</formula1>
    </dataValidation>
    <dataValidation type="list" allowBlank="1" showInputMessage="1" showErrorMessage="1" sqref="D2:D366" xr:uid="{64ED2885-5E83-4B77-98DC-CCF841C2A206}">
      <formula1>$D$2:$D$366</formula1>
    </dataValidation>
    <dataValidation type="list" allowBlank="1" showInputMessage="1" showErrorMessage="1" sqref="E2:E366" xr:uid="{4828AA1C-12CA-49E6-93C4-7380A3ADA528}">
      <formula1>$E$2:$E$366</formula1>
    </dataValidation>
    <dataValidation type="list" allowBlank="1" showInputMessage="1" showErrorMessage="1" sqref="F2:F366" xr:uid="{EC824328-FC97-451F-97BE-EC40F694C0E5}">
      <formula1>$F$2:$F$366</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C9C2C9-C8B0-4258-89D4-1A4E5B9D05A0}">
  <dimension ref="A1:G45"/>
  <sheetViews>
    <sheetView workbookViewId="0">
      <selection activeCell="H3" sqref="H3"/>
    </sheetView>
  </sheetViews>
  <sheetFormatPr defaultRowHeight="15" x14ac:dyDescent="0.25"/>
  <cols>
    <col min="1" max="1" width="18.42578125" bestFit="1" customWidth="1"/>
    <col min="2" max="2" width="14.140625" bestFit="1" customWidth="1"/>
    <col min="3" max="3" width="14.28515625" bestFit="1" customWidth="1"/>
    <col min="4" max="4" width="15.5703125" bestFit="1" customWidth="1"/>
    <col min="6" max="6" width="16.7109375" bestFit="1" customWidth="1"/>
    <col min="7" max="7" width="15.5703125" bestFit="1" customWidth="1"/>
    <col min="9" max="9" width="16.7109375" bestFit="1" customWidth="1"/>
    <col min="10" max="10" width="15.5703125" bestFit="1" customWidth="1"/>
  </cols>
  <sheetData>
    <row r="1" spans="1:7" x14ac:dyDescent="0.25">
      <c r="A1" s="6" t="s">
        <v>38</v>
      </c>
      <c r="B1" t="s">
        <v>40</v>
      </c>
      <c r="C1" t="s">
        <v>41</v>
      </c>
      <c r="D1" t="s">
        <v>42</v>
      </c>
      <c r="F1" s="6" t="s">
        <v>38</v>
      </c>
      <c r="G1" t="s">
        <v>42</v>
      </c>
    </row>
    <row r="2" spans="1:7" x14ac:dyDescent="0.25">
      <c r="A2" s="7" t="s">
        <v>34</v>
      </c>
      <c r="B2" s="8">
        <v>57000</v>
      </c>
      <c r="C2" s="4">
        <v>57700</v>
      </c>
      <c r="D2" s="4">
        <v>700</v>
      </c>
      <c r="F2" s="7" t="s">
        <v>11</v>
      </c>
      <c r="G2" s="4">
        <v>-5511.3100000000013</v>
      </c>
    </row>
    <row r="3" spans="1:7" x14ac:dyDescent="0.25">
      <c r="A3" s="7" t="s">
        <v>8</v>
      </c>
      <c r="B3" s="8">
        <v>1102422</v>
      </c>
      <c r="C3" s="4">
        <v>1096412.3600000001</v>
      </c>
      <c r="D3" s="4">
        <v>-6009.6399999999976</v>
      </c>
      <c r="F3" s="7" t="s">
        <v>16</v>
      </c>
      <c r="G3" s="4">
        <v>2589.4800000000018</v>
      </c>
    </row>
    <row r="4" spans="1:7" x14ac:dyDescent="0.25">
      <c r="A4" s="7" t="s">
        <v>6</v>
      </c>
      <c r="B4" s="8">
        <v>940538</v>
      </c>
      <c r="C4" s="4">
        <v>944170.33000000007</v>
      </c>
      <c r="D4" s="4">
        <v>3632.3300000000045</v>
      </c>
      <c r="F4" s="7" t="s">
        <v>13</v>
      </c>
      <c r="G4" s="4">
        <v>1229.7400000000043</v>
      </c>
    </row>
    <row r="5" spans="1:7" x14ac:dyDescent="0.25">
      <c r="A5" s="7" t="s">
        <v>3</v>
      </c>
      <c r="B5" s="8">
        <v>884149</v>
      </c>
      <c r="C5" s="4">
        <v>895937.03999999992</v>
      </c>
      <c r="D5" s="4">
        <v>11788.040000000006</v>
      </c>
      <c r="F5" s="7" t="s">
        <v>17</v>
      </c>
      <c r="G5" s="4">
        <v>12108.949999999999</v>
      </c>
    </row>
    <row r="6" spans="1:7" x14ac:dyDescent="0.25">
      <c r="A6" s="7" t="s">
        <v>1</v>
      </c>
      <c r="B6" s="8">
        <v>1180204</v>
      </c>
      <c r="C6" s="4">
        <v>1197495.9799999997</v>
      </c>
      <c r="D6" s="4">
        <v>17291.980000000003</v>
      </c>
      <c r="F6" s="7" t="s">
        <v>10</v>
      </c>
      <c r="G6" s="4">
        <v>27555.880000000034</v>
      </c>
    </row>
    <row r="7" spans="1:7" x14ac:dyDescent="0.25">
      <c r="A7" s="7" t="s">
        <v>2</v>
      </c>
      <c r="B7" s="8">
        <v>1651285</v>
      </c>
      <c r="C7" s="4">
        <v>1652404.0599999996</v>
      </c>
      <c r="D7" s="4">
        <v>1119.0599999999995</v>
      </c>
      <c r="F7" s="7" t="s">
        <v>14</v>
      </c>
      <c r="G7" s="4">
        <v>4537.1100000000042</v>
      </c>
    </row>
    <row r="8" spans="1:7" x14ac:dyDescent="0.25">
      <c r="A8" s="7" t="s">
        <v>5</v>
      </c>
      <c r="B8" s="8">
        <v>1228473</v>
      </c>
      <c r="C8" s="4">
        <v>1242043.23</v>
      </c>
      <c r="D8" s="4">
        <v>13570.230000000005</v>
      </c>
      <c r="F8" s="7" t="s">
        <v>15</v>
      </c>
      <c r="G8" s="4">
        <v>2354.8799999999974</v>
      </c>
    </row>
    <row r="9" spans="1:7" x14ac:dyDescent="0.25">
      <c r="A9" s="7" t="s">
        <v>4</v>
      </c>
      <c r="B9" s="8">
        <v>625710</v>
      </c>
      <c r="C9" s="4">
        <v>628459.69000000006</v>
      </c>
      <c r="D9" s="4">
        <v>2749.6900000000046</v>
      </c>
      <c r="F9" s="7" t="s">
        <v>12</v>
      </c>
      <c r="G9" s="4">
        <v>8887.09</v>
      </c>
    </row>
    <row r="10" spans="1:7" x14ac:dyDescent="0.25">
      <c r="A10" s="7" t="s">
        <v>7</v>
      </c>
      <c r="B10" s="8">
        <v>954952</v>
      </c>
      <c r="C10" s="4">
        <v>963862.12999999989</v>
      </c>
      <c r="D10" s="4">
        <v>8910.1300000000156</v>
      </c>
      <c r="F10" s="7" t="s">
        <v>39</v>
      </c>
      <c r="G10" s="4">
        <v>53751.820000000036</v>
      </c>
    </row>
    <row r="11" spans="1:7" x14ac:dyDescent="0.25">
      <c r="A11" s="7" t="s">
        <v>39</v>
      </c>
      <c r="B11" s="8">
        <v>8624733</v>
      </c>
      <c r="C11" s="4">
        <v>8678484.8200000003</v>
      </c>
      <c r="D11" s="4">
        <v>53751.820000000036</v>
      </c>
    </row>
    <row r="15" spans="1:7" x14ac:dyDescent="0.25">
      <c r="A15" s="6" t="s">
        <v>38</v>
      </c>
      <c r="B15" t="s">
        <v>40</v>
      </c>
      <c r="C15" t="s">
        <v>41</v>
      </c>
    </row>
    <row r="16" spans="1:7" x14ac:dyDescent="0.25">
      <c r="A16" s="7" t="s">
        <v>19</v>
      </c>
      <c r="B16" s="4">
        <v>955200</v>
      </c>
      <c r="C16" s="4">
        <v>960300</v>
      </c>
    </row>
    <row r="17" spans="1:3" x14ac:dyDescent="0.25">
      <c r="A17" s="7" t="s">
        <v>20</v>
      </c>
      <c r="B17" s="4">
        <v>886300</v>
      </c>
      <c r="C17" s="4">
        <v>889600</v>
      </c>
    </row>
    <row r="18" spans="1:3" x14ac:dyDescent="0.25">
      <c r="A18" s="7" t="s">
        <v>21</v>
      </c>
      <c r="B18" s="4">
        <v>902500</v>
      </c>
      <c r="C18" s="4">
        <v>905400</v>
      </c>
    </row>
    <row r="19" spans="1:3" x14ac:dyDescent="0.25">
      <c r="A19" s="7" t="s">
        <v>22</v>
      </c>
      <c r="B19" s="4">
        <v>619673</v>
      </c>
      <c r="C19" s="4">
        <v>644987.32000000007</v>
      </c>
    </row>
    <row r="20" spans="1:3" x14ac:dyDescent="0.25">
      <c r="A20" s="7" t="s">
        <v>23</v>
      </c>
      <c r="B20" s="4">
        <v>536302</v>
      </c>
      <c r="C20" s="4">
        <v>540180.64000000013</v>
      </c>
    </row>
    <row r="21" spans="1:3" x14ac:dyDescent="0.25">
      <c r="A21" s="7" t="s">
        <v>24</v>
      </c>
      <c r="B21" s="4">
        <v>596161</v>
      </c>
      <c r="C21" s="4">
        <v>595063.08000000019</v>
      </c>
    </row>
    <row r="22" spans="1:3" x14ac:dyDescent="0.25">
      <c r="A22" s="7" t="s">
        <v>25</v>
      </c>
      <c r="B22" s="4">
        <v>489411</v>
      </c>
      <c r="C22" s="4">
        <v>494961.48</v>
      </c>
    </row>
    <row r="23" spans="1:3" x14ac:dyDescent="0.25">
      <c r="A23" s="7" t="s">
        <v>26</v>
      </c>
      <c r="B23" s="4">
        <v>864914</v>
      </c>
      <c r="C23" s="4">
        <v>847848.32</v>
      </c>
    </row>
    <row r="24" spans="1:3" x14ac:dyDescent="0.25">
      <c r="A24" s="7" t="s">
        <v>27</v>
      </c>
      <c r="B24" s="4">
        <v>431371</v>
      </c>
      <c r="C24" s="4">
        <v>422377.9800000001</v>
      </c>
    </row>
    <row r="25" spans="1:3" x14ac:dyDescent="0.25">
      <c r="A25" s="7" t="s">
        <v>28</v>
      </c>
      <c r="B25" s="4">
        <v>890293</v>
      </c>
      <c r="C25" s="4">
        <v>897942.62999999966</v>
      </c>
    </row>
    <row r="26" spans="1:3" x14ac:dyDescent="0.25">
      <c r="A26" s="7" t="s">
        <v>29</v>
      </c>
      <c r="B26" s="4">
        <v>866144</v>
      </c>
      <c r="C26" s="4">
        <v>894355.20999999985</v>
      </c>
    </row>
    <row r="27" spans="1:3" x14ac:dyDescent="0.25">
      <c r="A27" s="7" t="s">
        <v>30</v>
      </c>
      <c r="B27" s="4">
        <v>586464</v>
      </c>
      <c r="C27" s="4">
        <v>585468.16000000015</v>
      </c>
    </row>
    <row r="28" spans="1:3" x14ac:dyDescent="0.25">
      <c r="A28" s="7" t="s">
        <v>39</v>
      </c>
      <c r="B28" s="4">
        <v>8624733</v>
      </c>
      <c r="C28" s="4">
        <v>8678484.8200000022</v>
      </c>
    </row>
    <row r="35" spans="1:2" x14ac:dyDescent="0.25">
      <c r="A35" s="6" t="s">
        <v>38</v>
      </c>
      <c r="B35" t="s">
        <v>40</v>
      </c>
    </row>
    <row r="36" spans="1:2" x14ac:dyDescent="0.25">
      <c r="A36" s="7" t="s">
        <v>7</v>
      </c>
      <c r="B36" s="4">
        <v>954952</v>
      </c>
    </row>
    <row r="37" spans="1:2" x14ac:dyDescent="0.25">
      <c r="A37" s="7" t="s">
        <v>2</v>
      </c>
      <c r="B37" s="4">
        <v>1651285</v>
      </c>
    </row>
    <row r="38" spans="1:2" x14ac:dyDescent="0.25">
      <c r="A38" s="7" t="s">
        <v>5</v>
      </c>
      <c r="B38" s="4">
        <v>1228473</v>
      </c>
    </row>
    <row r="39" spans="1:2" x14ac:dyDescent="0.25">
      <c r="A39" s="7" t="s">
        <v>34</v>
      </c>
      <c r="B39" s="4">
        <v>57000</v>
      </c>
    </row>
    <row r="40" spans="1:2" x14ac:dyDescent="0.25">
      <c r="A40" s="7" t="s">
        <v>1</v>
      </c>
      <c r="B40" s="4">
        <v>1180204</v>
      </c>
    </row>
    <row r="41" spans="1:2" x14ac:dyDescent="0.25">
      <c r="A41" s="7" t="s">
        <v>8</v>
      </c>
      <c r="B41" s="4">
        <v>1102422</v>
      </c>
    </row>
    <row r="42" spans="1:2" x14ac:dyDescent="0.25">
      <c r="A42" s="7" t="s">
        <v>4</v>
      </c>
      <c r="B42" s="4">
        <v>625710</v>
      </c>
    </row>
    <row r="43" spans="1:2" x14ac:dyDescent="0.25">
      <c r="A43" s="7" t="s">
        <v>6</v>
      </c>
      <c r="B43" s="4">
        <v>940538</v>
      </c>
    </row>
    <row r="44" spans="1:2" x14ac:dyDescent="0.25">
      <c r="A44" s="7" t="s">
        <v>3</v>
      </c>
      <c r="B44" s="4">
        <v>884149</v>
      </c>
    </row>
    <row r="45" spans="1:2" x14ac:dyDescent="0.25">
      <c r="A45" s="7" t="s">
        <v>39</v>
      </c>
      <c r="B45" s="4">
        <v>8624733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3453E-7072-4ABF-A738-481336DE7F21}">
  <dimension ref="A1:G2"/>
  <sheetViews>
    <sheetView workbookViewId="0">
      <selection activeCell="Y45" sqref="Y45"/>
    </sheetView>
  </sheetViews>
  <sheetFormatPr defaultRowHeight="15" x14ac:dyDescent="0.25"/>
  <cols>
    <col min="1" max="1" width="19" bestFit="1" customWidth="1"/>
    <col min="3" max="3" width="19" bestFit="1" customWidth="1"/>
    <col min="5" max="5" width="14.5703125" bestFit="1" customWidth="1"/>
    <col min="7" max="7" width="10.42578125" bestFit="1" customWidth="1"/>
  </cols>
  <sheetData>
    <row r="1" spans="1:7" x14ac:dyDescent="0.25">
      <c r="A1" s="13" t="s">
        <v>43</v>
      </c>
      <c r="B1" s="14"/>
      <c r="C1" s="13" t="s">
        <v>44</v>
      </c>
      <c r="D1" s="14"/>
      <c r="E1" s="13" t="s">
        <v>45</v>
      </c>
      <c r="F1" s="14"/>
      <c r="G1" s="13" t="s">
        <v>46</v>
      </c>
    </row>
    <row r="2" spans="1:7" ht="24" x14ac:dyDescent="0.4">
      <c r="A2" s="11">
        <f>GETPIVOTDATA("Sum of Budget",'Pivot Tables'!$A$1)</f>
        <v>8624733</v>
      </c>
      <c r="B2" s="9"/>
      <c r="C2" s="11">
        <f>GETPIVOTDATA("Sum of Actual",'Pivot Tables'!$A$1)</f>
        <v>8678484.8200000003</v>
      </c>
      <c r="D2" s="9"/>
      <c r="E2" s="11">
        <f>GETPIVOTDATA("Sum of Variance",'Pivot Tables'!$A$1)</f>
        <v>53751.820000000036</v>
      </c>
      <c r="F2" s="10"/>
      <c r="G2" s="12">
        <f>E2/A2</f>
        <v>6.232288002422804E-3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88DE4-2B37-4EC6-A135-41A437AC552B}">
  <dimension ref="A1:C13"/>
  <sheetViews>
    <sheetView tabSelected="1" workbookViewId="0">
      <selection activeCell="D2" sqref="D2"/>
    </sheetView>
  </sheetViews>
  <sheetFormatPr defaultRowHeight="15" x14ac:dyDescent="0.25"/>
  <cols>
    <col min="1" max="1" width="18.42578125" bestFit="1" customWidth="1"/>
    <col min="2" max="2" width="17.5703125" bestFit="1" customWidth="1"/>
    <col min="3" max="3" width="10.28515625" bestFit="1" customWidth="1"/>
  </cols>
  <sheetData>
    <row r="1" spans="1:3" x14ac:dyDescent="0.25">
      <c r="A1" s="1" t="s">
        <v>0</v>
      </c>
      <c r="B1" s="1" t="s">
        <v>9</v>
      </c>
      <c r="C1" s="1" t="s">
        <v>18</v>
      </c>
    </row>
    <row r="2" spans="1:3" x14ac:dyDescent="0.25">
      <c r="A2" t="s">
        <v>1</v>
      </c>
      <c r="B2" t="s">
        <v>10</v>
      </c>
      <c r="C2" t="s">
        <v>19</v>
      </c>
    </row>
    <row r="3" spans="1:3" x14ac:dyDescent="0.25">
      <c r="A3" t="s">
        <v>2</v>
      </c>
      <c r="B3" t="s">
        <v>11</v>
      </c>
      <c r="C3" t="s">
        <v>20</v>
      </c>
    </row>
    <row r="4" spans="1:3" x14ac:dyDescent="0.25">
      <c r="A4" t="s">
        <v>3</v>
      </c>
      <c r="B4" t="s">
        <v>12</v>
      </c>
      <c r="C4" t="s">
        <v>21</v>
      </c>
    </row>
    <row r="5" spans="1:3" x14ac:dyDescent="0.25">
      <c r="A5" t="s">
        <v>4</v>
      </c>
      <c r="B5" t="s">
        <v>13</v>
      </c>
      <c r="C5" t="s">
        <v>22</v>
      </c>
    </row>
    <row r="6" spans="1:3" x14ac:dyDescent="0.25">
      <c r="A6" t="s">
        <v>5</v>
      </c>
      <c r="B6" t="s">
        <v>14</v>
      </c>
      <c r="C6" t="s">
        <v>23</v>
      </c>
    </row>
    <row r="7" spans="1:3" x14ac:dyDescent="0.25">
      <c r="A7" t="s">
        <v>6</v>
      </c>
      <c r="B7" t="s">
        <v>15</v>
      </c>
      <c r="C7" t="s">
        <v>24</v>
      </c>
    </row>
    <row r="8" spans="1:3" x14ac:dyDescent="0.25">
      <c r="A8" t="s">
        <v>7</v>
      </c>
      <c r="B8" t="s">
        <v>16</v>
      </c>
      <c r="C8" t="s">
        <v>25</v>
      </c>
    </row>
    <row r="9" spans="1:3" x14ac:dyDescent="0.25">
      <c r="A9" t="s">
        <v>8</v>
      </c>
      <c r="B9" t="s">
        <v>17</v>
      </c>
      <c r="C9" t="s">
        <v>26</v>
      </c>
    </row>
    <row r="10" spans="1:3" x14ac:dyDescent="0.25">
      <c r="C10" t="s">
        <v>27</v>
      </c>
    </row>
    <row r="11" spans="1:3" x14ac:dyDescent="0.25">
      <c r="C11" t="s">
        <v>28</v>
      </c>
    </row>
    <row r="12" spans="1:3" x14ac:dyDescent="0.25">
      <c r="C12" t="s">
        <v>29</v>
      </c>
    </row>
    <row r="13" spans="1:3" x14ac:dyDescent="0.25">
      <c r="C13" t="s">
        <v>30</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vt:lpstr>
      <vt:lpstr>Pivot Tables</vt:lpstr>
      <vt:lpstr>Dashboard</vt:lpstr>
      <vt:lpstr>Assumptions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Ojo-Awosika, Temiloluwa</dc:creator>
  <cp:lastModifiedBy>Ojo-Awosika, Temiloluwa</cp:lastModifiedBy>
  <dcterms:created xsi:type="dcterms:W3CDTF">2026-07-14T17:39:10Z</dcterms:created>
  <dcterms:modified xsi:type="dcterms:W3CDTF">2026-07-14T20:26:08Z</dcterms:modified>
</cp:coreProperties>
</file>